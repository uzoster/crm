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toranlar" sheetId="1" state="visible" r:id="rId3"/>
    <sheet name="Dashboard" sheetId="2" state="visible" r:id="rId4"/>
  </sheets>
  <definedNames>
    <definedName function="false" hidden="true" localSheetId="0" name="_xlnm._FilterDatabase" vbProcedure="false">Restoranlar!$A$1:$M$101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<sst xmlns="http://schemas.openxmlformats.org/spreadsheetml/2006/main" count="1227" uniqueCount="576">
  <si>
    <t xml:space="preserve">№</t>
  </si>
  <si>
    <t xml:space="preserve">Restoran nomi</t>
  </si>
  <si>
    <t xml:space="preserve">Kategoriya</t>
  </si>
  <si>
    <t xml:space="preserve">Tuman</t>
  </si>
  <si>
    <t xml:space="preserve">To'liq manzil</t>
  </si>
  <si>
    <t xml:space="preserve">Telefon</t>
  </si>
  <si>
    <t xml:space="preserve">Instagram</t>
  </si>
  <si>
    <t xml:space="preserve">Telegram</t>
  </si>
  <si>
    <t xml:space="preserve">Website</t>
  </si>
  <si>
    <t xml:space="preserve">Google Maps</t>
  </si>
  <si>
    <t xml:space="preserve">Ish vaqti</t>
  </si>
  <si>
    <t xml:space="preserve">Holati (Status)</t>
  </si>
  <si>
    <t xml:space="preserve">Izoh</t>
  </si>
  <si>
    <t xml:space="preserve">Restaurant Caravan</t>
  </si>
  <si>
    <t xml:space="preserve">Restoran</t>
  </si>
  <si>
    <t xml:space="preserve">Mirzo Ulug'bek</t>
  </si>
  <si>
    <t xml:space="preserve">Abdulla Qahhor ko'chasi 22, Toshkent</t>
  </si>
  <si>
    <t xml:space="preserve">+998 78 150 66 06</t>
  </si>
  <si>
    <t xml:space="preserve">Mavjud emas</t>
  </si>
  <si>
    <t xml:space="preserve">https://caravangroup.uz/</t>
  </si>
  <si>
    <t xml:space="preserve">https://www.google.com/maps/search/?api=1&amp;query=Abdulla%20Qahhor%20ko%27chasi%2022%2C%20Toshkent%2C%20Tashkent%2C%20Uzbekistan</t>
  </si>
  <si>
    <t xml:space="preserve">🟢 Yangi</t>
  </si>
  <si>
    <t xml:space="preserve">Milliy taomlar, Google reyting 4.4 (1200+ sharh)</t>
  </si>
  <si>
    <t xml:space="preserve">Jumanji</t>
  </si>
  <si>
    <t xml:space="preserve">Mirobod</t>
  </si>
  <si>
    <t xml:space="preserve">Yusuf Xos Xojib ko'chasi 62, Toshkent</t>
  </si>
  <si>
    <t xml:space="preserve">+998 71 255 42 00</t>
  </si>
  <si>
    <t xml:space="preserve">http://jumanji.uz/</t>
  </si>
  <si>
    <t xml:space="preserve">https://www.google.com/maps/search/?api=1&amp;query=Yusuf%20Xos%20Xojib%20ko%27chasi%2062%2C%20Toshkent%2C%20Tashkent%2C%20Uzbekistan</t>
  </si>
  <si>
    <t xml:space="preserve">20 yildan ortiq tarixga ega, Xitoy/Yevropa/Uzbek oshxonasi</t>
  </si>
  <si>
    <t xml:space="preserve">City Grill</t>
  </si>
  <si>
    <t xml:space="preserve">Steak House</t>
  </si>
  <si>
    <t xml:space="preserve">Shahrisabz ko'chasi 23, Toshkent</t>
  </si>
  <si>
    <t xml:space="preserve">+998 71 233 49 72</t>
  </si>
  <si>
    <t xml:space="preserve">https://www.google.com/maps/search/?api=1&amp;query=Shahrisabz%20ko%27chasi%2023%2C%20Toshkent%2C%20Tashkent%2C%20Uzbekistan</t>
  </si>
  <si>
    <t xml:space="preserve">Steyk restorani, Google reyting 4.3</t>
  </si>
  <si>
    <t xml:space="preserve">Affresco</t>
  </si>
  <si>
    <t xml:space="preserve">Italian Restaurant</t>
  </si>
  <si>
    <t xml:space="preserve">Yunusobod</t>
  </si>
  <si>
    <t xml:space="preserve">Bobur ko'chasi 14, Toshkent</t>
  </si>
  <si>
    <t xml:space="preserve">+998 78 129 90 90</t>
  </si>
  <si>
    <t xml:space="preserve">https://www.google.com/maps/search/?api=1&amp;query=Bobur%20ko%27chasi%2014%2C%20Toshkent%2C%20Tashkent%2C%20Uzbekistan</t>
  </si>
  <si>
    <t xml:space="preserve">Italyan oshxonasi, muzey interyeri</t>
  </si>
  <si>
    <t xml:space="preserve">Afsona Shevchenko</t>
  </si>
  <si>
    <t xml:space="preserve">Milliy taomlar</t>
  </si>
  <si>
    <t xml:space="preserve">Taras Shevchenko ko'chasi 28, Toshkent</t>
  </si>
  <si>
    <t xml:space="preserve">+998 71 252 56 82</t>
  </si>
  <si>
    <t xml:space="preserve">https://taplink.cc/afsona_rest</t>
  </si>
  <si>
    <t xml:space="preserve">https://www.google.com/maps/search/?api=1&amp;query=Taras%20Shevchenko%20ko%27chasi%2028%2C%20Toshkent%2C%20Tashkent%2C%20Uzbekistan</t>
  </si>
  <si>
    <t xml:space="preserve">Zamonaviy o'zbek oshxonasi, Google reyting 4.3</t>
  </si>
  <si>
    <t xml:space="preserve">Gruzinskiy Dvorik</t>
  </si>
  <si>
    <t xml:space="preserve">Abdulla Qahhor ko'chasi 15, Toshkent</t>
  </si>
  <si>
    <t xml:space="preserve">+998 90 037 03 30</t>
  </si>
  <si>
    <t xml:space="preserve">http://gruzinskiy.uz/</t>
  </si>
  <si>
    <t xml:space="preserve">https://www.google.com/maps/search/?api=1&amp;query=Abdulla%20Qahhor%20ko%27chasi%2015%2C%20Toshkent%2C%20Tashkent%2C%20Uzbekistan</t>
  </si>
  <si>
    <t xml:space="preserve">Gruzin oshxonasi</t>
  </si>
  <si>
    <t xml:space="preserve">Socials Cafe Shevchenko</t>
  </si>
  <si>
    <t xml:space="preserve">Kafe</t>
  </si>
  <si>
    <t xml:space="preserve">Taras Shevchenko ko'chasi 36А, Toshkent</t>
  </si>
  <si>
    <t xml:space="preserve">+998 99 008 88 11</t>
  </si>
  <si>
    <t xml:space="preserve">https://www.google.com/maps/search/?api=1&amp;query=Taras%20Shevchenko%20ko%27chasi%2036%D0%90%2C%20Toshkent%2C%20Tashkent%2C%20Uzbekistan</t>
  </si>
  <si>
    <t xml:space="preserve">Google reyting 4.6 (1400+ sharh)</t>
  </si>
  <si>
    <t xml:space="preserve">Cafe Bon! (Fidokor)</t>
  </si>
  <si>
    <t xml:space="preserve">Coffee shop</t>
  </si>
  <si>
    <t xml:space="preserve">Fidokor ko'chasi 40, Toshkent</t>
  </si>
  <si>
    <t xml:space="preserve">+998 99 444 18 03</t>
  </si>
  <si>
    <t xml:space="preserve">http://www.abnmbgroup.com/</t>
  </si>
  <si>
    <t xml:space="preserve">https://www.google.com/maps/search/?api=1&amp;query=Fidokor%20ko%27chasi%2040%2C%20Toshkent%2C%20Tashkent%2C%20Uzbekistan</t>
  </si>
  <si>
    <t xml:space="preserve">Kofe, bakery, salatlar</t>
  </si>
  <si>
    <t xml:space="preserve">Bon! (Babur)</t>
  </si>
  <si>
    <t xml:space="preserve">Bobur ko'chasi 174, Toshkent</t>
  </si>
  <si>
    <t xml:space="preserve">+998 95 845 17 19</t>
  </si>
  <si>
    <t xml:space="preserve">https://www.google.com/maps/search/?api=1&amp;query=Bobur%20ko%27chasi%20174%2C%20Toshkent%2C%20Tashkent%2C%20Uzbekistan</t>
  </si>
  <si>
    <t xml:space="preserve">ABN MB Group tarmog'i</t>
  </si>
  <si>
    <t xml:space="preserve">Pie Republic</t>
  </si>
  <si>
    <t xml:space="preserve">Dessert Cafe</t>
  </si>
  <si>
    <t xml:space="preserve">Shahrisabz ko'chasi 33-34, Toshkent</t>
  </si>
  <si>
    <t xml:space="preserve">+998 95 198 88 77</t>
  </si>
  <si>
    <t xml:space="preserve">https://instagram.com/pierepublicuz</t>
  </si>
  <si>
    <t xml:space="preserve">https://www.google.com/maps/search/?api=1&amp;query=Shahrisabz%20ko%27chasi%2033-34%2C%20Toshkent%2C%20Tashkent%2C%20Uzbekistan</t>
  </si>
  <si>
    <t xml:space="preserve">Shirinliklar va pishiriqlar kafesi</t>
  </si>
  <si>
    <t xml:space="preserve">Chaykof</t>
  </si>
  <si>
    <t xml:space="preserve">Tea House</t>
  </si>
  <si>
    <t xml:space="preserve">Said Baraka ko'chasi 16B, Toshkent</t>
  </si>
  <si>
    <t xml:space="preserve">+998 78 150 16 66</t>
  </si>
  <si>
    <t xml:space="preserve">https://www.google.com/maps/search/?api=1&amp;query=Said%20Baraka%20ko%27chasi%2016B%2C%20Toshkent%2C%20Tashkent%2C%20Uzbekistan</t>
  </si>
  <si>
    <t xml:space="preserve">Choy va kofe, vegetarian menyu</t>
  </si>
  <si>
    <t xml:space="preserve">Pizzeria Bella Napoli</t>
  </si>
  <si>
    <t xml:space="preserve">Pizza</t>
  </si>
  <si>
    <t xml:space="preserve">Shota Rustaveli ko'chasi 63, Toshkent</t>
  </si>
  <si>
    <t xml:space="preserve">+998 71 253 91 83</t>
  </si>
  <si>
    <t xml:space="preserve">https://www.google.com/maps/search/?api=1&amp;query=Shota%20Rustaveli%20ko%27chasi%2063%2C%20Toshkent%2C%20Tashkent%2C%20Uzbekistan</t>
  </si>
  <si>
    <t xml:space="preserve">2007-yildan beri faoliyat yuritadi</t>
  </si>
  <si>
    <t xml:space="preserve">B&amp;B Coffee House (Rustaveli)</t>
  </si>
  <si>
    <t xml:space="preserve">Shota Rustaveli ko'chasi 30, Toshkent</t>
  </si>
  <si>
    <t xml:space="preserve">+998 71 209 84 48</t>
  </si>
  <si>
    <t xml:space="preserve">https://bnb.uz/</t>
  </si>
  <si>
    <t xml:space="preserve">https://www.google.com/maps/search/?api=1&amp;query=Shota%20Rustaveli%20ko%27chasi%2030%2C%20Toshkent%2C%20Tashkent%2C%20Uzbekistan</t>
  </si>
  <si>
    <t xml:space="preserve">Beans &amp; Brews tarmog'i</t>
  </si>
  <si>
    <t xml:space="preserve">B&amp;B Coffee House (Chexov)</t>
  </si>
  <si>
    <t xml:space="preserve">Chexov ko'chasi 25, Toshkent</t>
  </si>
  <si>
    <t xml:space="preserve">https://www.google.com/maps/search/?api=1&amp;query=Chexov%20ko%27chasi%2025%2C%20Toshkent%2C%20Tashkent%2C%20Uzbekistan</t>
  </si>
  <si>
    <t xml:space="preserve">Beans &amp; Brews tarmog'i, ikkinchi filial</t>
  </si>
  <si>
    <t xml:space="preserve">The Irish Pub &amp; Restaurant</t>
  </si>
  <si>
    <t xml:space="preserve">Taras Shevchenko ko'chasi 30, Toshkent</t>
  </si>
  <si>
    <t xml:space="preserve">+998 71 252 78 42</t>
  </si>
  <si>
    <t xml:space="preserve">https://www.facebook.com/TheIrishPubTashkent</t>
  </si>
  <si>
    <t xml:space="preserve">https://www.google.com/maps/search/?api=1&amp;query=Taras%20Shevchenko%20ko%27chasi%2030%2C%20Toshkent%2C%20Tashkent%2C%20Uzbekistan</t>
  </si>
  <si>
    <t xml:space="preserve">Irland pabi, Yevropa taomlari</t>
  </si>
  <si>
    <t xml:space="preserve">Navvat Lounge Bar</t>
  </si>
  <si>
    <t xml:space="preserve">Shayxontohur</t>
  </si>
  <si>
    <t xml:space="preserve">Matbuotchilar ko'chasi 9, Toshkent</t>
  </si>
  <si>
    <t xml:space="preserve">+998 99 968 68 68</t>
  </si>
  <si>
    <t xml:space="preserve">https://www.google.com/maps/search/?api=1&amp;query=Matbuotchilar%20ko%27chasi%209%2C%20Toshkent%2C%20Tashkent%2C%20Uzbekistan</t>
  </si>
  <si>
    <t xml:space="preserve">O'zbek milliy taomlari</t>
  </si>
  <si>
    <t xml:space="preserve">Forn Lebnen</t>
  </si>
  <si>
    <t xml:space="preserve">Bakery</t>
  </si>
  <si>
    <t xml:space="preserve">Muqimiy 1-tor ko'cha 8A, Toshkent</t>
  </si>
  <si>
    <t xml:space="preserve">+998 55 511 21 11</t>
  </si>
  <si>
    <t xml:space="preserve">http://www.fornlebnen.com/</t>
  </si>
  <si>
    <t xml:space="preserve">https://www.google.com/maps/search/?api=1&amp;query=Muqimiy%201-tor%20ko%27cha%208A%2C%20Toshkent%2C%20Tashkent%2C%20Uzbekistan</t>
  </si>
  <si>
    <t xml:space="preserve">Livan oshxonasi va nonvoyxona</t>
  </si>
  <si>
    <t xml:space="preserve">Cafe "Bek"</t>
  </si>
  <si>
    <t xml:space="preserve">Shashlik markazi</t>
  </si>
  <si>
    <t xml:space="preserve">Mirzo Ulug'bek shoh ko'chasi, Toshkent</t>
  </si>
  <si>
    <t xml:space="preserve">+998 88 511 99 99</t>
  </si>
  <si>
    <t xml:space="preserve">https://www.google.com/maps/search/?api=1&amp;query=Mirzo%20Ulug%27bek%20shoh%20ko%27chasi%2C%20Toshkent%2C%20Tashkent%2C%20Uzbekistan</t>
  </si>
  <si>
    <t xml:space="preserve">Shashlik va milliy taomlar</t>
  </si>
  <si>
    <t xml:space="preserve">Breadly Bakery</t>
  </si>
  <si>
    <t xml:space="preserve">Okqo'rg'on ko'chasi 25, Toshkent</t>
  </si>
  <si>
    <t xml:space="preserve">+998 78 122 25 25</t>
  </si>
  <si>
    <t xml:space="preserve">https://breadly.uz/</t>
  </si>
  <si>
    <t xml:space="preserve">https://www.google.com/maps/search/?api=1&amp;query=Okqo%27rg%27on%20ko%27chasi%2025%2C%20Toshkent%2C%20Tashkent%2C%20Uzbekistan</t>
  </si>
  <si>
    <t xml:space="preserve">Nonvoyxona va kofe tarmog'i</t>
  </si>
  <si>
    <t xml:space="preserve">Broccoli</t>
  </si>
  <si>
    <t xml:space="preserve">Chexov ko'chasi 7, Toshkent</t>
  </si>
  <si>
    <t xml:space="preserve">+998 95 195 11 44</t>
  </si>
  <si>
    <t xml:space="preserve">https://www.facebook.com/Broccoli.uz/</t>
  </si>
  <si>
    <t xml:space="preserve">https://www.google.com/maps/search/?api=1&amp;query=Chexov%20ko%27chasi%207%2C%20Toshkent%2C%20Tashkent%2C%20Uzbekistan</t>
  </si>
  <si>
    <t xml:space="preserve">Sog'lom ovqatlanish, o'z-o'ziga xizmat</t>
  </si>
  <si>
    <t xml:space="preserve">Vohha Brasserie</t>
  </si>
  <si>
    <t xml:space="preserve">Turkish Restaurant</t>
  </si>
  <si>
    <t xml:space="preserve">Yakkasaroy</t>
  </si>
  <si>
    <t xml:space="preserve">Afrosiyob ko'chasi 41, Toshkent</t>
  </si>
  <si>
    <t xml:space="preserve">+998 77 512 27 77</t>
  </si>
  <si>
    <t xml:space="preserve">http://www.vohhabrasserie.uz/</t>
  </si>
  <si>
    <t xml:space="preserve">https://www.google.com/maps/search/?api=1&amp;query=Afrosiyob%20ko%27chasi%2041%2C%20Toshkent%2C%20Tashkent%2C%20Uzbekistan</t>
  </si>
  <si>
    <t xml:space="preserve">Turk oshxonasi, kalyan xonasi</t>
  </si>
  <si>
    <t xml:space="preserve">Cookbook Workshop</t>
  </si>
  <si>
    <t xml:space="preserve">Zulfiyaxonim ko'chasi 18, Toshkent</t>
  </si>
  <si>
    <t xml:space="preserve">+998 99 899 90 04</t>
  </si>
  <si>
    <t xml:space="preserve">https://www.facebook.com/cookbookworkshop/</t>
  </si>
  <si>
    <t xml:space="preserve">https://www.google.com/maps/search/?api=1&amp;query=Zulfiyaxonim%20ko%27chasi%2018%2C%20Toshkent%2C%20Tashkent%2C%20Uzbekistan</t>
  </si>
  <si>
    <t xml:space="preserve">Pishiriqlar va tortlar ustaxonasi</t>
  </si>
  <si>
    <t xml:space="preserve">Ecorn</t>
  </si>
  <si>
    <t xml:space="preserve">Sodiq Azimov ko'chasi 31, Toshkent</t>
  </si>
  <si>
    <t xml:space="preserve">+998 71 236 15 76</t>
  </si>
  <si>
    <t xml:space="preserve">https://www.google.com/maps/search/?api=1&amp;query=Sodiq%20Azimov%20ko%27chasi%2031%2C%20Toshkent%2C%20Tashkent%2C%20Uzbekistan</t>
  </si>
  <si>
    <t xml:space="preserve">40 yildan beri kruassan va shirinliklar</t>
  </si>
  <si>
    <t xml:space="preserve">Bon! (Rustaveli)</t>
  </si>
  <si>
    <t xml:space="preserve">+998 99 444 18 01</t>
  </si>
  <si>
    <t xml:space="preserve">National Food</t>
  </si>
  <si>
    <t xml:space="preserve">Sirk ro'parasida, Toshkent</t>
  </si>
  <si>
    <t xml:space="preserve">+998 71 244 77 03</t>
  </si>
  <si>
    <t xml:space="preserve">https://www.google.com/maps/search/?api=1&amp;query=Sirk%20ro%27parasida%2C%20Toshkent%2C%20Tashkent%2C%20Uzbekistan</t>
  </si>
  <si>
    <t xml:space="preserve">An'anaviy o'zbek oshxonasi, plov, shashlik</t>
  </si>
  <si>
    <t xml:space="preserve">Cafe 1991</t>
  </si>
  <si>
    <t xml:space="preserve">Mustaqillik shoh ko'chasi, Toshkent</t>
  </si>
  <si>
    <t xml:space="preserve">+998 90 919 91 00</t>
  </si>
  <si>
    <t xml:space="preserve">https://www.google.com/maps/search/?api=1&amp;query=Mustaqillik%20shoh%20ko%27chasi%2C%20Toshkent%2C%20Tashkent%2C%20Uzbekistan</t>
  </si>
  <si>
    <t xml:space="preserve">O'rta Osiyo va Livan fyujn oshxonasi</t>
  </si>
  <si>
    <t xml:space="preserve">Syrovarnya</t>
  </si>
  <si>
    <t xml:space="preserve">Shahrisabz ko'chasi 31B, Toshkent</t>
  </si>
  <si>
    <t xml:space="preserve">+998 90 815 31 31</t>
  </si>
  <si>
    <t xml:space="preserve">https://familygarden.su/syrovarnyatashkent/</t>
  </si>
  <si>
    <t xml:space="preserve">https://www.google.com/maps/search/?api=1&amp;query=Shahrisabz%20ko%27chasi%2031B%2C%20Toshkent%2C%20Tashkent%2C%20Uzbekistan</t>
  </si>
  <si>
    <t xml:space="preserve">Italyan-rus uslubidagi restoran</t>
  </si>
  <si>
    <t xml:space="preserve">Ember &amp; Embar</t>
  </si>
  <si>
    <t xml:space="preserve">Shahrisabz ko'chasi 2 (InterContinental), Toshkent</t>
  </si>
  <si>
    <t xml:space="preserve">+998 55 504 44 41</t>
  </si>
  <si>
    <t xml:space="preserve">http://ictashkent.com/</t>
  </si>
  <si>
    <t xml:space="preserve">https://www.google.com/maps/search/?api=1&amp;query=Shahrisabz%20ko%27chasi%202%20%28InterContinental%29%2C%20Toshkent%2C%20Tashkent%2C%20Uzbekistan</t>
  </si>
  <si>
    <t xml:space="preserve">InterContinental 22-qavat, Pan-Asian oshxona</t>
  </si>
  <si>
    <t xml:space="preserve">Assorti Restaurant &amp; Sushi Bar</t>
  </si>
  <si>
    <t xml:space="preserve">Japanese Restaurant</t>
  </si>
  <si>
    <t xml:space="preserve">Le Grand Plaza Hotel, O'zbekiston Ovozi ko'chasi 2, Toshkent</t>
  </si>
  <si>
    <t xml:space="preserve">+998 78 129 99 90</t>
  </si>
  <si>
    <t xml:space="preserve">https://assorti.uz/</t>
  </si>
  <si>
    <t xml:space="preserve">https://www.google.com/maps/search/?api=1&amp;query=Le%20Grand%20Plaza%20Hotel%2C%20O%27zbekiston%20Ovozi%20ko%27chasi%202%2C%20Toshkent%2C%20Tashkent%2C%20Uzbekistan</t>
  </si>
  <si>
    <t xml:space="preserve">Yapon/Koreys/Yevropa oshxonasi</t>
  </si>
  <si>
    <t xml:space="preserve">Khiva Restaurant</t>
  </si>
  <si>
    <t xml:space="preserve">Navoiy shox ko'chasi 1 (Hyatt Regency), Toshkent</t>
  </si>
  <si>
    <t xml:space="preserve">+998 71 207 13 11</t>
  </si>
  <si>
    <t xml:space="preserve">https://www.google.com/maps/search/?api=1&amp;query=Navoiy%20shox%20ko%27chasi%201%20%28Hyatt%20Regency%29%2C%20Toshkent%2C%20Tashkent%2C%20Uzbekistan</t>
  </si>
  <si>
    <t xml:space="preserve">Hyatt Regency mehmonxonasi restorani</t>
  </si>
  <si>
    <t xml:space="preserve">City Grill Steakhouse</t>
  </si>
  <si>
    <t xml:space="preserve">Shota Rustaveli ko'chasi 28, Toshkent</t>
  </si>
  <si>
    <t xml:space="preserve">+998 90 000 44 50</t>
  </si>
  <si>
    <t xml:space="preserve">https://www.google.com/maps/search/?api=1&amp;query=Shota%20Rustaveli%20ko%27chasi%2028%2C%20Toshkent%2C%20Tashkent%2C%20Uzbekistan</t>
  </si>
  <si>
    <t xml:space="preserve">Yevropa uslubidagi steyk-xausi</t>
  </si>
  <si>
    <t xml:space="preserve">Besh Qozon</t>
  </si>
  <si>
    <t xml:space="preserve">Osh markazi</t>
  </si>
  <si>
    <t xml:space="preserve">Gvardiya polkovnigi Xodjayev ko'chasi 1, Toshkent</t>
  </si>
  <si>
    <t xml:space="preserve">+998 71 200 94 44</t>
  </si>
  <si>
    <t xml:space="preserve">http://www.beshqozon.uz/</t>
  </si>
  <si>
    <t xml:space="preserve">https://www.google.com/maps/search/?api=1&amp;query=Gvardiya%20polkovnigi%20Xodjayev%20ko%27chasi%201%2C%20Toshkent%2C%20Tashkent%2C%20Uzbekistan</t>
  </si>
  <si>
    <t xml:space="preserve">Mashhur osh markazi, TV minorasi yonida</t>
  </si>
  <si>
    <t xml:space="preserve">Sette Restaurant &amp; Bar</t>
  </si>
  <si>
    <t xml:space="preserve">+998 71 207 13 71</t>
  </si>
  <si>
    <t xml:space="preserve">Hyatt Regency 7-qavat, tomli terrasa</t>
  </si>
  <si>
    <t xml:space="preserve">Basilic Restaurant</t>
  </si>
  <si>
    <t xml:space="preserve">Amir Temur shox ko'chasi 19, Toshkent</t>
  </si>
  <si>
    <t xml:space="preserve">+998 71 233 99 05</t>
  </si>
  <si>
    <t xml:space="preserve">https://www.google.com/maps/search/?api=1&amp;query=Amir%20Temur%20shox%20ko%27chasi%2019%2C%20Toshkent%2C%20Tashkent%2C%20Uzbekistan</t>
  </si>
  <si>
    <t xml:space="preserve">O'rta yer dengizi/Yevropa taomlari</t>
  </si>
  <si>
    <t xml:space="preserve">Metropol</t>
  </si>
  <si>
    <t xml:space="preserve">Mahmud Torobiy ko'chasi 29, Toshkent</t>
  </si>
  <si>
    <t xml:space="preserve">+998 95 229 29 29</t>
  </si>
  <si>
    <t xml:space="preserve">https://www.google.com/maps/search/?api=1&amp;query=Mahmud%20Torobiy%20ko%27chasi%2029%2C%20Toshkent%2C%20Tashkent%2C%20Uzbekistan</t>
  </si>
  <si>
    <t xml:space="preserve">Yevropa va milliy taomlar, yozgi terrasa</t>
  </si>
  <si>
    <t xml:space="preserve">Gunaydin</t>
  </si>
  <si>
    <t xml:space="preserve">Baynalminal ko'chasi, Toshkent</t>
  </si>
  <si>
    <t xml:space="preserve">+998 95 450 23 23</t>
  </si>
  <si>
    <t xml:space="preserve">https://www.google.com/maps/search/?api=1&amp;query=Baynalminal%20ko%27chasi%2C%20Toshkent%2C%20Tashkent%2C%20Uzbekistan</t>
  </si>
  <si>
    <t xml:space="preserve">Turk go'sht taomlari tarmog'i</t>
  </si>
  <si>
    <t xml:space="preserve">Donerci Hamdi Usta</t>
  </si>
  <si>
    <t xml:space="preserve">Glinka ko'chasi 46, Toshkent</t>
  </si>
  <si>
    <t xml:space="preserve">+998 99 221 11 11</t>
  </si>
  <si>
    <t xml:space="preserve">https://www.google.com/maps/search/?api=1&amp;query=Glinka%20ko%27chasi%2046%2C%20Toshkent%2C%20Tashkent%2C%20Uzbekistan</t>
  </si>
  <si>
    <t xml:space="preserve">Turk doner tarmog'i</t>
  </si>
  <si>
    <t xml:space="preserve">GOSHT</t>
  </si>
  <si>
    <t xml:space="preserve">Burger</t>
  </si>
  <si>
    <t xml:space="preserve">Mirobod tumani, Toshkent</t>
  </si>
  <si>
    <t xml:space="preserve">+998 97 130 88 00</t>
  </si>
  <si>
    <t xml:space="preserve">http://gosht.uz/</t>
  </si>
  <si>
    <t xml:space="preserve">https://www.google.com/maps/search/?api=1&amp;query=Mirobod%20tumani%2C%20Toshkent%2C%20Tashkent%2C%20Uzbekistan</t>
  </si>
  <si>
    <t xml:space="preserve">Gurme burgerlar va steyklar</t>
  </si>
  <si>
    <t xml:space="preserve">Bellissimo Pizza Next</t>
  </si>
  <si>
    <t xml:space="preserve">Bobur ko'chasi 6 (Next savdo markazi), Toshkent</t>
  </si>
  <si>
    <t xml:space="preserve">+998 71 203 66 66</t>
  </si>
  <si>
    <t xml:space="preserve">https://bellissimo.uz/</t>
  </si>
  <si>
    <t xml:space="preserve">https://www.google.com/maps/search/?api=1&amp;query=Bobur%20ko%27chasi%206%20%28Next%20savdo%20markazi%29%2C%20Toshkent%2C%20Tashkent%2C%20Uzbekistan</t>
  </si>
  <si>
    <t xml:space="preserve">Pitsa va kofe, savdo markazida</t>
  </si>
  <si>
    <t xml:space="preserve">Shef Burger (Rustaveli)</t>
  </si>
  <si>
    <t xml:space="preserve">Shota Rustaveli ko'chasi 13, Toshkent</t>
  </si>
  <si>
    <t xml:space="preserve">+998 78 150 12 22</t>
  </si>
  <si>
    <t xml:space="preserve">https://instagram.com/shefburger_uz</t>
  </si>
  <si>
    <t xml:space="preserve">https://www.google.com/maps/search/?api=1&amp;query=Shota%20Rustaveli%20ko%27chasi%2013%2C%20Toshkent%2C%20Tashkent%2C%20Uzbekistan</t>
  </si>
  <si>
    <t xml:space="preserve">O'z pishirilgan bulochkalari bilan mashhur</t>
  </si>
  <si>
    <t xml:space="preserve">Shef Burger (Amir Temur)</t>
  </si>
  <si>
    <t xml:space="preserve">Amir Temur shox ko'chasi 70, Toshkent</t>
  </si>
  <si>
    <t xml:space="preserve">https://www.google.com/maps/search/?api=1&amp;query=Amir%20Temur%20shox%20ko%27chasi%2070%2C%20Toshkent%2C%20Tashkent%2C%20Uzbekistan</t>
  </si>
  <si>
    <t xml:space="preserve">Amerika uslubidagi burgerlar</t>
  </si>
  <si>
    <t xml:space="preserve">The Burger - Korporatsiya Burgerov</t>
  </si>
  <si>
    <t xml:space="preserve">Istiqbol ko'chasi 8, Toshkent</t>
  </si>
  <si>
    <t xml:space="preserve">https://www.google.com/maps/search/?api=1&amp;query=Istiqbol%20ko%27chasi%208%2C%20Toshkent%2C%20Tashkent%2C%20Uzbekistan</t>
  </si>
  <si>
    <t xml:space="preserve">Burger va tovuq qanotlari</t>
  </si>
  <si>
    <t xml:space="preserve">Dodo Pizza</t>
  </si>
  <si>
    <t xml:space="preserve">Said Baraka ko'chasi 16Б, Toshkent</t>
  </si>
  <si>
    <t xml:space="preserve">+998 71 207 77 29</t>
  </si>
  <si>
    <t xml:space="preserve">https://dodopizza.uz/</t>
  </si>
  <si>
    <t xml:space="preserve">https://www.google.com/maps/search/?api=1&amp;query=Said%20Baraka%20ko%27chasi%2016%D0%91%2C%20Toshkent%2C%20Tashkent%2C%20Uzbekistan</t>
  </si>
  <si>
    <t xml:space="preserve">24 soat ishlaydigan pitsa yetkazib berish tarmog'i</t>
  </si>
  <si>
    <t xml:space="preserve">Black Star Burger</t>
  </si>
  <si>
    <t xml:space="preserve">Sodiq Azimov ko'chasi, Toshkent</t>
  </si>
  <si>
    <t xml:space="preserve">+998 99 900 60 06</t>
  </si>
  <si>
    <t xml:space="preserve">https://blackstarburger.ru/zavedeniya/bsb-tashkent/</t>
  </si>
  <si>
    <t xml:space="preserve">https://www.google.com/maps/search/?api=1&amp;query=Sodiq%20Azimov%20ko%27chasi%2C%20Toshkent%2C%20Tashkent%2C%20Uzbekistan</t>
  </si>
  <si>
    <t xml:space="preserve">Rossiyalik brend, Toshkentdagi filiali</t>
  </si>
  <si>
    <t xml:space="preserve">Beerkovich Avenue</t>
  </si>
  <si>
    <t xml:space="preserve">Mirobod ko'chasi 9А, Toshkent</t>
  </si>
  <si>
    <t xml:space="preserve">+998 33 272 00 40</t>
  </si>
  <si>
    <t xml:space="preserve">https://instagram.com/beerkovich.uz</t>
  </si>
  <si>
    <t xml:space="preserve">https://www.google.com/maps/search/?api=1&amp;query=Mirobod%20ko%27chasi%209%D0%90%2C%20Toshkent%2C%20Tashkent%2C%20Uzbekistan</t>
  </si>
  <si>
    <t xml:space="preserve">Pivo bari va restoran</t>
  </si>
  <si>
    <t xml:space="preserve">Chorsu Bozori (Non qatori)</t>
  </si>
  <si>
    <t xml:space="preserve">Non</t>
  </si>
  <si>
    <t xml:space="preserve">Tafakkur ko'chasi 57, Toshkent</t>
  </si>
  <si>
    <t xml:space="preserve">https://www.google.com/maps/search/?api=1&amp;query=Tafakkur%20ko%27chasi%2057%2C%20Toshkent%2C%20Tashkent%2C%20Uzbekistan</t>
  </si>
  <si>
    <t xml:space="preserve">Tarixiy sharq bozori, tandirda pishirilgan yangi non va nonvoylik mahsulotlari qatori</t>
  </si>
  <si>
    <t xml:space="preserve">Yapona Mama (Rustaveli)</t>
  </si>
  <si>
    <t xml:space="preserve">Shota Rustaveli ko'chasi 69A, Toshkent</t>
  </si>
  <si>
    <t xml:space="preserve">+998 98 251 12 13</t>
  </si>
  <si>
    <t xml:space="preserve">https://yaponamama.uz/</t>
  </si>
  <si>
    <t xml:space="preserve">https://www.google.com/maps/search/?api=1&amp;query=Shota%20Rustaveli%20ko%27chasi%2069A%2C%20Toshkent%2C%20Tashkent%2C%20Uzbekistan</t>
  </si>
  <si>
    <t xml:space="preserve">Google reyting 4.1 (431)</t>
  </si>
  <si>
    <t xml:space="preserve">Merhaba Steakhouse</t>
  </si>
  <si>
    <t xml:space="preserve">Yangi Kuylyuk ko'chasi 18, Toshkent</t>
  </si>
  <si>
    <t xml:space="preserve">+998 98 305 00 70</t>
  </si>
  <si>
    <t xml:space="preserve">https://facebook.com/merhabasteakhouse</t>
  </si>
  <si>
    <t xml:space="preserve">https://www.google.com/maps/search/?api=1&amp;query=Yangi%20Kuylyuk%20ko%27chasi%2018%2C%20Toshkent%2C%20Tashkent%2C%20Uzbekistan</t>
  </si>
  <si>
    <t xml:space="preserve">Google reyting 4.6 (345)</t>
  </si>
  <si>
    <t xml:space="preserve">Teppanyaki</t>
  </si>
  <si>
    <t xml:space="preserve">Shahrisabz ko'chasi 33А, Toshkent</t>
  </si>
  <si>
    <t xml:space="preserve">+998 90 955 55 45</t>
  </si>
  <si>
    <t xml:space="preserve">https://www.instagram.com/teppanyaki.uz/</t>
  </si>
  <si>
    <t xml:space="preserve">https://www.google.com/maps/search/?api=1&amp;query=Shahrisabz%20ko%27chasi%2033%D0%90%2C%20Toshkent%2C%20Tashkent%2C%20Uzbekistan</t>
  </si>
  <si>
    <t xml:space="preserve">Teppanyaki grill-shou bilan</t>
  </si>
  <si>
    <t xml:space="preserve">FURUSATO</t>
  </si>
  <si>
    <t xml:space="preserve">Niyozbek Yo'li ko'chasi 3-tor, 6A-bino, Toshkent</t>
  </si>
  <si>
    <t xml:space="preserve">+998 95 005 61 32</t>
  </si>
  <si>
    <t xml:space="preserve">https://www.instagram.com/furusato_tashkent</t>
  </si>
  <si>
    <t xml:space="preserve">https://www.google.com/maps/search/?api=1&amp;query=Niyozbek%20Yo%27li%20ko%27chasi%203-tor%2C%206A-bino%2C%20Toshkent%2C%20Tashkent%2C%20Uzbekistan</t>
  </si>
  <si>
    <t xml:space="preserve">Google reyting 4.8 (148)</t>
  </si>
  <si>
    <t xml:space="preserve">Sushi Time</t>
  </si>
  <si>
    <t xml:space="preserve">Mirabad ko'chasi 12, Toshkent</t>
  </si>
  <si>
    <t xml:space="preserve">+998 97 784 94 94</t>
  </si>
  <si>
    <t xml:space="preserve">http://www.sushi-time.uz/</t>
  </si>
  <si>
    <t xml:space="preserve">https://www.google.com/maps/search/?api=1&amp;query=Mirabad%20ko%27chasi%2012%2C%20Toshkent%2C%20Tashkent%2C%20Uzbekistan</t>
  </si>
  <si>
    <t xml:space="preserve">Google reyting 4.5 (261)</t>
  </si>
  <si>
    <t xml:space="preserve">Yaponamama (Shevchenko)</t>
  </si>
  <si>
    <t xml:space="preserve">Taras Shevchenko ko'chasi, Toshkent</t>
  </si>
  <si>
    <t xml:space="preserve">+998 98 366 61 12</t>
  </si>
  <si>
    <t xml:space="preserve">https://www.google.com/maps/search/?api=1&amp;query=Taras%20Shevchenko%20ko%27chasi%2C%20Toshkent%2C%20Tashkent%2C%20Uzbekistan</t>
  </si>
  <si>
    <t xml:space="preserve">Sushi tarmog'i filiali</t>
  </si>
  <si>
    <t xml:space="preserve">Yaponamama (Badamzor)</t>
  </si>
  <si>
    <t xml:space="preserve">Shivli ko'chasi 55, Toshkent</t>
  </si>
  <si>
    <t xml:space="preserve">+998 78 150 12 13</t>
  </si>
  <si>
    <t xml:space="preserve">https://www.google.com/maps/search/?api=1&amp;query=Shivli%20ko%27chasi%2055%2C%20Toshkent%2C%20Tashkent%2C%20Uzbekistan</t>
  </si>
  <si>
    <t xml:space="preserve">Yapona Mama 3</t>
  </si>
  <si>
    <t xml:space="preserve">Mirzo Ulug'bek shox ko'chasi 4, Toshkent</t>
  </si>
  <si>
    <t xml:space="preserve">+998 98 272 12 13</t>
  </si>
  <si>
    <t xml:space="preserve">https://www.google.com/maps/search/?api=1&amp;query=Mirzo%20Ulug%27bek%20shox%20ko%27chasi%204%2C%20Toshkent%2C%20Tashkent%2C%20Uzbekistan</t>
  </si>
  <si>
    <t xml:space="preserve">Sushi tarmog'i filiali, Google reyting 4.4 (637)</t>
  </si>
  <si>
    <t xml:space="preserve">Twice Spice</t>
  </si>
  <si>
    <t xml:space="preserve">Korean Restaurant</t>
  </si>
  <si>
    <t xml:space="preserve">Okqo'rg'on ko'chasi 18, Toshkent</t>
  </si>
  <si>
    <t xml:space="preserve">+998 99 902 88 99</t>
  </si>
  <si>
    <t xml:space="preserve">https://t.me/TwiceSpicebot</t>
  </si>
  <si>
    <t xml:space="preserve">https://www.google.com/maps/search/?api=1&amp;query=Okqo%27rg%27on%20ko%27chasi%2018%2C%20Toshkent%2C%20Tashkent%2C%20Uzbekistan</t>
  </si>
  <si>
    <t xml:space="preserve">Koreys/Yapon oshxonasi, Google reyting 4.3 (151)</t>
  </si>
  <si>
    <t xml:space="preserve">Sushi Bar "Yaposha"</t>
  </si>
  <si>
    <t xml:space="preserve">Yusuf Xos Xojib ko'chasi 32, Toshkent</t>
  </si>
  <si>
    <t xml:space="preserve">+998 93 380 13 80</t>
  </si>
  <si>
    <t xml:space="preserve">https://instagram.com/yaposha.uz</t>
  </si>
  <si>
    <t xml:space="preserve">https://www.google.com/maps/search/?api=1&amp;query=Yusuf%20Xos%20Xojib%20ko%27chasi%2032%2C%20Toshkent%2C%20Tashkent%2C%20Uzbekistan</t>
  </si>
  <si>
    <t xml:space="preserve">Google reyting 4.0 (128)</t>
  </si>
  <si>
    <t xml:space="preserve">Sushi Wok Master</t>
  </si>
  <si>
    <t xml:space="preserve">Qo'shbegi ko'chasi 6/1, Toshkent</t>
  </si>
  <si>
    <t xml:space="preserve">+998 71 205 59 59</t>
  </si>
  <si>
    <t xml:space="preserve">https://t.me/Sushiwokmasterbot</t>
  </si>
  <si>
    <t xml:space="preserve">https://www.google.com/maps/search/?api=1&amp;query=Qo%27shbegi%20ko%27chasi%206/1%2C%20Toshkent%2C%20Tashkent%2C%20Uzbekistan</t>
  </si>
  <si>
    <t xml:space="preserve">Google reyting 4.3 (257)</t>
  </si>
  <si>
    <t xml:space="preserve">Tanuki (Shevchenko)</t>
  </si>
  <si>
    <t xml:space="preserve">Taras Shevchenko ko'chasi 21А, Toshkent</t>
  </si>
  <si>
    <t xml:space="preserve">+998 78 122 28 20</t>
  </si>
  <si>
    <t xml:space="preserve">https://tanukifamily.uz/</t>
  </si>
  <si>
    <t xml:space="preserve">https://www.google.com/maps/search/?api=1&amp;query=Taras%20Shevchenko%20ko%27chasi%2021%D0%90%2C%20Toshkent%2C%20Tashkent%2C%20Uzbekistan</t>
  </si>
  <si>
    <t xml:space="preserve">Google reyting 4.5 (348)</t>
  </si>
  <si>
    <t xml:space="preserve">Tanuki (Tashkent City Mall)</t>
  </si>
  <si>
    <t xml:space="preserve">Yashnobod</t>
  </si>
  <si>
    <t xml:space="preserve">Botir Zokirov ko'chasi 7 (Tashkent City Mall), Toshkent</t>
  </si>
  <si>
    <t xml:space="preserve">+998 78 122 05 08</t>
  </si>
  <si>
    <t xml:space="preserve">https://www.google.com/maps/search/?api=1&amp;query=Botir%20Zokirov%20ko%27chasi%207%20%28Tashkent%20City%20Mall%29%2C%20Toshkent%2C%20Tashkent%2C%20Uzbekistan</t>
  </si>
  <si>
    <t xml:space="preserve">Google reyting 4.6 (234)</t>
  </si>
  <si>
    <t xml:space="preserve">TomYumBar</t>
  </si>
  <si>
    <t xml:space="preserve">+998 94 787 77 77</t>
  </si>
  <si>
    <t xml:space="preserve">https://menu.tomyumbar.com/?tashkent</t>
  </si>
  <si>
    <t xml:space="preserve">Tay-fyujn oshxonasi, Google reyting 4.5 (287)</t>
  </si>
  <si>
    <t xml:space="preserve">L'Opera Ristorante</t>
  </si>
  <si>
    <t xml:space="preserve">O'zbekiston shox ko'chasi 17, Toshkent</t>
  </si>
  <si>
    <t xml:space="preserve">+998 95 198 08 88</t>
  </si>
  <si>
    <t xml:space="preserve">https://www.google.com/maps/search/?api=1&amp;query=O%27zbekiston%20shox%20ko%27chasi%2017%2C%20Toshkent%2C%20Tashkent%2C%20Uzbekistan</t>
  </si>
  <si>
    <t xml:space="preserve">Italyan shef tomonidan boshqariladi, Google reyting 4.4 (260)</t>
  </si>
  <si>
    <t xml:space="preserve">Plov Center</t>
  </si>
  <si>
    <t xml:space="preserve">Chorsu bozori yaqinida, Toshkent</t>
  </si>
  <si>
    <t xml:space="preserve">+998 90 977 74 00</t>
  </si>
  <si>
    <t xml:space="preserve">https://www.google.com/maps/search/?api=1&amp;query=Chorsu%20bozori%20yaqinida%2C%20Toshkent%2C%20Tashkent%2C%20Uzbekistan</t>
  </si>
  <si>
    <t xml:space="preserve">Chorsu yaqinidagi mashhur osh markazi</t>
  </si>
  <si>
    <t xml:space="preserve">Jungle Family Club</t>
  </si>
  <si>
    <t xml:space="preserve">Family Restaurant</t>
  </si>
  <si>
    <t xml:space="preserve">Sergeli</t>
  </si>
  <si>
    <t xml:space="preserve">Turkiston ko'chasi, Toshkent</t>
  </si>
  <si>
    <t xml:space="preserve">+998 88 900 08 00</t>
  </si>
  <si>
    <t xml:space="preserve">https://www.google.com/maps/search/?api=1&amp;query=Turkiston%20ko%27chasi%2C%20Toshkent%2C%20Tashkent%2C%20Uzbekistan</t>
  </si>
  <si>
    <t xml:space="preserve">Bolalar uchun o'yin maydonchali oilaviy restoran</t>
  </si>
  <si>
    <t xml:space="preserve">Burger &amp; Lounge Grill Bar</t>
  </si>
  <si>
    <t xml:space="preserve">Buyuk Ipak Yo'li ko'chasi 158, Toshkent</t>
  </si>
  <si>
    <t xml:space="preserve">+998 71 205 99 97</t>
  </si>
  <si>
    <t xml:space="preserve">https://burgerandlounge.uz/ru</t>
  </si>
  <si>
    <t xml:space="preserve">https://www.google.com/maps/search/?api=1&amp;query=Buyuk%20Ipak%20Yo%27li%20ko%27chasi%20158%2C%20Toshkent%2C%20Tashkent%2C%20Uzbekistan</t>
  </si>
  <si>
    <t xml:space="preserve">Google reyting 4.6 (465)</t>
  </si>
  <si>
    <t xml:space="preserve">Silk 96 Wine&amp;Lounge</t>
  </si>
  <si>
    <t xml:space="preserve">Kari Niyozov ko'chasi 68A, Toshkent</t>
  </si>
  <si>
    <t xml:space="preserve">+998 99 835 85 00</t>
  </si>
  <si>
    <t xml:space="preserve">http://www.smi.uz/</t>
  </si>
  <si>
    <t xml:space="preserve">https://www.google.com/maps/search/?api=1&amp;query=Kari%20Niyozov%20ko%27chasi%2068A%2C%20Toshkent%2C%20Tashkent%2C%20Uzbekistan</t>
  </si>
  <si>
    <t xml:space="preserve">Vino bari va restoran, Google reyting 4.8 (345)</t>
  </si>
  <si>
    <t xml:space="preserve">Qanotchi</t>
  </si>
  <si>
    <t xml:space="preserve">Toshkent shahri</t>
  </si>
  <si>
    <t xml:space="preserve">+998 71 203 01 10</t>
  </si>
  <si>
    <t xml:space="preserve">https://facebook.com/Qanotchi/</t>
  </si>
  <si>
    <t xml:space="preserve">https://www.google.com/maps/search/?api=1&amp;query=Toshkent%20shahri%2C%20Tashkent%2C%20Uzbekistan</t>
  </si>
  <si>
    <t xml:space="preserve">Go'sht taomlari, Google reyting 4.4 (679)</t>
  </si>
  <si>
    <t xml:space="preserve">QUADRO</t>
  </si>
  <si>
    <t xml:space="preserve">Zulfiyaxonim ko'chasi 24, Toshkent</t>
  </si>
  <si>
    <t xml:space="preserve">+998 78 113 13 38</t>
  </si>
  <si>
    <t xml:space="preserve">https://quadro.uz/</t>
  </si>
  <si>
    <t xml:space="preserve">https://www.google.com/maps/search/?api=1&amp;query=Zulfiyaxonim%20ko%27chasi%2024%2C%20Toshkent%2C%20Tashkent%2C%20Uzbekistan</t>
  </si>
  <si>
    <t xml:space="preserve">Livan/O'zbek/Italyan/Turk/Yunon/Yapon fyujn, jonli musiqa</t>
  </si>
  <si>
    <t xml:space="preserve">Testo by Zamira&amp;Co</t>
  </si>
  <si>
    <t xml:space="preserve">Shota Rustaveli ko'chasi 18, Toshkent</t>
  </si>
  <si>
    <t xml:space="preserve">+998 90 933 10 10</t>
  </si>
  <si>
    <t xml:space="preserve">https://testo.uz/</t>
  </si>
  <si>
    <t xml:space="preserve">https://www.google.com/maps/search/?api=1&amp;query=Shota%20Rustaveli%20ko%27chasi%2018%2C%20Toshkent%2C%20Tashkent%2C%20Uzbekistan</t>
  </si>
  <si>
    <t xml:space="preserve">Pelmen/manti/xinkali kafesi, Google reyting 4.1 (183)</t>
  </si>
  <si>
    <t xml:space="preserve">Rayhon National Meals Restaurant</t>
  </si>
  <si>
    <t xml:space="preserve">+998 99 885 01 06</t>
  </si>
  <si>
    <t xml:space="preserve">Milliy taomlar, ikki qavatli, Google reyting 4.0 (832)</t>
  </si>
  <si>
    <t xml:space="preserve">Shosh Restaurant &amp; Terrace</t>
  </si>
  <si>
    <t xml:space="preserve">Ukchi ko'chasi 1 (Hilton Tashkent City), Toshkent</t>
  </si>
  <si>
    <t xml:space="preserve">+998 94 940 40 01</t>
  </si>
  <si>
    <t xml:space="preserve">https://htrmeals.uz/</t>
  </si>
  <si>
    <t xml:space="preserve">https://www.google.com/maps/search/?api=1&amp;query=Ukchi%20ko%27chasi%201%20%28Hilton%20Tashkent%20City%29%2C%20Toshkent%2C%20Tashkent%2C%20Uzbekistan</t>
  </si>
  <si>
    <t xml:space="preserve">Hilton mehmonxonasi restorani</t>
  </si>
  <si>
    <t xml:space="preserve">Giotto</t>
  </si>
  <si>
    <t xml:space="preserve">+998 88 098 77 67</t>
  </si>
  <si>
    <t xml:space="preserve">https://s1.menu-giotto.uz/</t>
  </si>
  <si>
    <t xml:space="preserve">34 xil muzqaymoq va Vena vaflilari, Google reyting 4.3 (581)</t>
  </si>
  <si>
    <t xml:space="preserve">Bon! Boulangerie (Atlas)</t>
  </si>
  <si>
    <t xml:space="preserve">Temur Malik ko'chasi 3, Toshkent</t>
  </si>
  <si>
    <t xml:space="preserve">+998 99 444 38 09</t>
  </si>
  <si>
    <t xml:space="preserve">https://www.google.com/maps/search/?api=1&amp;query=Temur%20Malik%20ko%27chasi%203%2C%20Toshkent%2C%20Tashkent%2C%20Uzbekistan</t>
  </si>
  <si>
    <t xml:space="preserve">Nonvoyxona va patisserie, Atlas savdo majmuasida</t>
  </si>
  <si>
    <t xml:space="preserve">Paul</t>
  </si>
  <si>
    <t xml:space="preserve">Amir Temur shox ko'chasi 60, Toshkent</t>
  </si>
  <si>
    <t xml:space="preserve">+998 88 167 18 89</t>
  </si>
  <si>
    <t xml:space="preserve">http://paul.uz/</t>
  </si>
  <si>
    <t xml:space="preserve">https://www.google.com/maps/search/?api=1&amp;query=Amir%20Temur%20shox%20ko%27chasi%2060%2C%20Toshkent%2C%20Tashkent%2C%20Uzbekistan</t>
  </si>
  <si>
    <t xml:space="preserve">Fransuz nonvoyxona tarmog'i, Google reyting 4.1 (342)</t>
  </si>
  <si>
    <t xml:space="preserve">Safia cafe &amp; bakery (Bunyodkor)</t>
  </si>
  <si>
    <t xml:space="preserve">Bunyodkor shoh ko'chasi 6, Toshkent</t>
  </si>
  <si>
    <t xml:space="preserve">+998 78 113 40 40</t>
  </si>
  <si>
    <t xml:space="preserve">https://safiabakery.uz/ru</t>
  </si>
  <si>
    <t xml:space="preserve">https://www.google.com/maps/search/?api=1&amp;query=Bunyodkor%20shoh%20ko%27chasi%206%2C%20Toshkent%2C%20Tashkent%2C%20Uzbekistan</t>
  </si>
  <si>
    <t xml:space="preserve">Qandolat va bakery tarmog'i, Google reyting 4.2 (344)</t>
  </si>
  <si>
    <t xml:space="preserve">Bon! (Akhmad Donish)</t>
  </si>
  <si>
    <t xml:space="preserve">Ahmad Donish ko'chasi 80, Toshkent</t>
  </si>
  <si>
    <t xml:space="preserve">+998 99 010 74 59</t>
  </si>
  <si>
    <t xml:space="preserve">https://www.google.com/maps/search/?api=1&amp;query=Ahmad%20Donish%20ko%27chasi%2080%2C%20Toshkent%2C%20Tashkent%2C%20Uzbekistan</t>
  </si>
  <si>
    <t xml:space="preserve">Google reyting 4.5 (119)</t>
  </si>
  <si>
    <t xml:space="preserve">ART Plov Restaurant</t>
  </si>
  <si>
    <t xml:space="preserve">Imom At-Termiziy ko'chasi (Brand Bukhara yaqinida), Toshkent</t>
  </si>
  <si>
    <t xml:space="preserve">+998 99 571 88 22</t>
  </si>
  <si>
    <t xml:space="preserve">https://www.google.com/maps/search/?api=1&amp;query=Imom%20At-Termiziy%20ko%27chasi%20%28Brand%20Bukhara%20yaqinida%29%2C%20Toshkent%2C%20Tashkent%2C%20Uzbekistan</t>
  </si>
  <si>
    <t xml:space="preserve">Google reyting 4.4 (150)</t>
  </si>
  <si>
    <t xml:space="preserve">Shashlik Jonibek</t>
  </si>
  <si>
    <t xml:space="preserve">Geydar Aliyev ko'chasi 189, Toshkent</t>
  </si>
  <si>
    <t xml:space="preserve">https://www.google.com/maps/search/?api=1&amp;query=Geydar%20Aliyev%20ko%27chasi%20189%2C%20Toshkent%2C%20Tashkent%2C%20Uzbekistan</t>
  </si>
  <si>
    <t xml:space="preserve">Mahalliy mashhur shashlik joyi</t>
  </si>
  <si>
    <t xml:space="preserve">Shashlik</t>
  </si>
  <si>
    <t xml:space="preserve">O'zbekiston Ovozi ko'chasi 49, Toshkent</t>
  </si>
  <si>
    <t xml:space="preserve">+998 98 101 01 11</t>
  </si>
  <si>
    <t xml:space="preserve">https://www.google.com/maps/search/?api=1&amp;query=O%27zbekiston%20Ovozi%20ko%27chasi%2049%2C%20Toshkent%2C%20Tashkent%2C%20Uzbekistan</t>
  </si>
  <si>
    <t xml:space="preserve">10 dan ortiq shashlik turlari, Google reyting 4.0 (533)</t>
  </si>
  <si>
    <t xml:space="preserve">Anor</t>
  </si>
  <si>
    <t xml:space="preserve">Mirobod ko'chasi 37, Toshkent</t>
  </si>
  <si>
    <t xml:space="preserve">+998 98 301 33 11</t>
  </si>
  <si>
    <t xml:space="preserve">http://www.facebook.com/cafeanor</t>
  </si>
  <si>
    <t xml:space="preserve">https://www.google.com/maps/search/?api=1&amp;query=Mirobod%20ko%27chasi%2037%2C%20Toshkent%2C%20Tashkent%2C%20Uzbekistan</t>
  </si>
  <si>
    <t xml:space="preserve">Shisha devor bilan oshxonaga qarab turadi, Google reyting 4.1 (742)</t>
  </si>
  <si>
    <t xml:space="preserve">THE PLOV</t>
  </si>
  <si>
    <t xml:space="preserve">Xushnavo ko'chasi 4, Toshkent</t>
  </si>
  <si>
    <t xml:space="preserve">https://www.google.com/maps/search/?api=1&amp;query=Xushnavo%20ko%27chasi%204%2C%20Toshkent%2C%20Tashkent%2C%20Uzbekistan</t>
  </si>
  <si>
    <t xml:space="preserve">Osh va kabob taomlari</t>
  </si>
  <si>
    <t xml:space="preserve">Bosphorus Qorasaroy Family Restaurant</t>
  </si>
  <si>
    <t xml:space="preserve">Qorasaroy ko'chasi 257B, Toshkent</t>
  </si>
  <si>
    <t xml:space="preserve">+998 99 237 00 00</t>
  </si>
  <si>
    <t xml:space="preserve">https://bosphorusfamily.com/</t>
  </si>
  <si>
    <t xml:space="preserve">https://www.google.com/maps/search/?api=1&amp;query=Qorasaroy%20ko%27chasi%20257B%2C%20Toshkent%2C%20Tashkent%2C%20Uzbekistan</t>
  </si>
  <si>
    <t xml:space="preserve">Turk oshxonasi, Google reyting 4.5 (277)</t>
  </si>
  <si>
    <t xml:space="preserve">Positano Ristorante</t>
  </si>
  <si>
    <t xml:space="preserve">Taras Shevchenko ko'chasi 38А, Toshkent</t>
  </si>
  <si>
    <t xml:space="preserve">+998 99 300 01 11</t>
  </si>
  <si>
    <t xml:space="preserve">https://www.facebook.com/restaurantpositano/</t>
  </si>
  <si>
    <t xml:space="preserve">https://www.google.com/maps/search/?api=1&amp;query=Taras%20Shevchenko%20ko%27chasi%2038%D0%90%2C%20Toshkent%2C%20Tashkent%2C%20Uzbekistan</t>
  </si>
  <si>
    <t xml:space="preserve">Nafis restoran, Google reyting 4.2 (68)</t>
  </si>
  <si>
    <t xml:space="preserve">CuCucina</t>
  </si>
  <si>
    <t xml:space="preserve">Olmazor</t>
  </si>
  <si>
    <t xml:space="preserve">Olmazor ko'chasi 2А, Toshkent</t>
  </si>
  <si>
    <t xml:space="preserve">+998 33 088 03 18</t>
  </si>
  <si>
    <t xml:space="preserve">https://cucucina.uz/</t>
  </si>
  <si>
    <t xml:space="preserve">https://www.google.com/maps/search/?api=1&amp;query=Olmazor%20ko%27chasi%202%D0%90%2C%20Toshkent%2C%20Tashkent%2C%20Uzbekistan</t>
  </si>
  <si>
    <t xml:space="preserve">Google reyting 4.3 (285), bolalar o'yin maydonchasi bor</t>
  </si>
  <si>
    <t xml:space="preserve">Caffe Il Migliore</t>
  </si>
  <si>
    <t xml:space="preserve">Xurshid ko'chasi 57, Toshkent</t>
  </si>
  <si>
    <t xml:space="preserve">+998 71 209 11 43</t>
  </si>
  <si>
    <t xml:space="preserve">https://www.google.com/maps/search/?api=1&amp;query=Xurshid%20ko%27chasi%2057%2C%20Toshkent%2C%20Tashkent%2C%20Uzbekistan</t>
  </si>
  <si>
    <t xml:space="preserve">Google reyting 4.2 (147)</t>
  </si>
  <si>
    <t xml:space="preserve">Coffe &amp; Wine</t>
  </si>
  <si>
    <t xml:space="preserve">Abdulla Qahhor ko'chasi 24, Toshkent</t>
  </si>
  <si>
    <t xml:space="preserve">+998 90 357 53 43</t>
  </si>
  <si>
    <t xml:space="preserve">https://www.google.com/maps/search/?api=1&amp;query=Abdulla%20Qahhor%20ko%27chasi%2024%2C%20Toshkent%2C%20Tashkent%2C%20Uzbekistan</t>
  </si>
  <si>
    <t xml:space="preserve">Parij uslubidagi kofexona, Google reyting 4.5 (85)</t>
  </si>
  <si>
    <t xml:space="preserve">Portofino Restaurant</t>
  </si>
  <si>
    <t xml:space="preserve">O'zbekiston Ovozi ko'chasi, Toshkent</t>
  </si>
  <si>
    <t xml:space="preserve">+998 99 209 90 09</t>
  </si>
  <si>
    <t xml:space="preserve">https://www.google.com/maps/search/?api=1&amp;query=O%27zbekiston%20Ovozi%20ko%27chasi%2C%20Toshkent%2C%20Tashkent%2C%20Uzbekistan</t>
  </si>
  <si>
    <t xml:space="preserve">Google reyting 4.3 (49)</t>
  </si>
  <si>
    <t xml:space="preserve">di Gavi Restaurant</t>
  </si>
  <si>
    <t xml:space="preserve">Shahrisabz ko'chasi 16, Toshkent</t>
  </si>
  <si>
    <t xml:space="preserve">+998 93 559 99 99</t>
  </si>
  <si>
    <t xml:space="preserve">https://www.instagram.com/gavi.digavi/</t>
  </si>
  <si>
    <t xml:space="preserve">https://www.google.com/maps/search/?api=1&amp;query=Shahrisabz%20ko%27chasi%2016%2C%20Toshkent%2C%20Tashkent%2C%20Uzbekistan</t>
  </si>
  <si>
    <t xml:space="preserve">O'rta yer dengizi/Italyan fyujn, Google reyting 4.5 (88)</t>
  </si>
  <si>
    <t xml:space="preserve">IL Патио</t>
  </si>
  <si>
    <t xml:space="preserve">Taras Shevchenko ko'chasi 32, Toshkent</t>
  </si>
  <si>
    <t xml:space="preserve">+998 71 256 77 77</t>
  </si>
  <si>
    <t xml:space="preserve">https://www.google.com/maps/search/?api=1&amp;query=Taras%20Shevchenko%20ko%27chasi%2032%2C%20Toshkent%2C%20Tashkent%2C%20Uzbekistan</t>
  </si>
  <si>
    <t xml:space="preserve">Google reyting 3.9 (44)</t>
  </si>
  <si>
    <t xml:space="preserve">Halva</t>
  </si>
  <si>
    <t xml:space="preserve">Nukus ko'chasi 16, Toshkent</t>
  </si>
  <si>
    <t xml:space="preserve">https://www.google.com/maps/search/?api=1&amp;query=Nukus%20ko%27chasi%2016%2C%20Toshkent%2C%20Tashkent%2C%20Uzbekistan</t>
  </si>
  <si>
    <t xml:space="preserve">Sharq shirinliklari va kofe</t>
  </si>
  <si>
    <t xml:space="preserve">Samsa Perekus</t>
  </si>
  <si>
    <t xml:space="preserve">Somsa markazi</t>
  </si>
  <si>
    <t xml:space="preserve">769P+443, Toshkent</t>
  </si>
  <si>
    <t xml:space="preserve">https://www.google.com/maps/search/?api=1&amp;query=769P%2B443%2C%20Toshkent%2C%20Tashkent%2C%20Uzbekistan</t>
  </si>
  <si>
    <t xml:space="preserve">Mahalliy mashhur somsa joyi</t>
  </si>
  <si>
    <t xml:space="preserve">ALFA &amp; Bakery</t>
  </si>
  <si>
    <t xml:space="preserve">Shota Rustaveli ko'chasi 8, Toshkent</t>
  </si>
  <si>
    <t xml:space="preserve">+998 90 981 30 29</t>
  </si>
  <si>
    <t xml:space="preserve">https://www.google.com/maps/search/?api=1&amp;query=Shota%20Rustaveli%20ko%27chasi%208%2C%20Toshkent%2C%20Tashkent%2C%20Uzbekistan</t>
  </si>
  <si>
    <t xml:space="preserve">Koreys taomlari, Google reyting 4.8 (128)</t>
  </si>
  <si>
    <t xml:space="preserve">Somsa (Glinka)</t>
  </si>
  <si>
    <t xml:space="preserve">Glinka ko'chasi, Toshkent</t>
  </si>
  <si>
    <t xml:space="preserve">https://www.google.com/maps/search/?api=1&amp;query=Glinka%20ko%27chasi%2C%20Toshkent%2C%20Tashkent%2C%20Uzbekistan</t>
  </si>
  <si>
    <t xml:space="preserve">Somsa joyi, Google reyting 4.8</t>
  </si>
  <si>
    <t xml:space="preserve">Cake Lab</t>
  </si>
  <si>
    <t xml:space="preserve">Mirzo Ulug'bek shox ko'chasi 51, Toshkent</t>
  </si>
  <si>
    <t xml:space="preserve">+998 71 203 33 88</t>
  </si>
  <si>
    <t xml:space="preserve">https://cakelab.uz/ru</t>
  </si>
  <si>
    <t xml:space="preserve">https://www.google.com/maps/search/?api=1&amp;query=Mirzo%20Ulug%27bek%20shox%20ko%27chasi%2051%2C%20Toshkent%2C%20Tashkent%2C%20Uzbekistan</t>
  </si>
  <si>
    <t xml:space="preserve">Google reyting 4.1 (313)</t>
  </si>
  <si>
    <t xml:space="preserve">Baskin Robbins</t>
  </si>
  <si>
    <t xml:space="preserve">City Mall, Toshkent</t>
  </si>
  <si>
    <t xml:space="preserve">+998 71 200 03 10</t>
  </si>
  <si>
    <t xml:space="preserve">http://baskinrobbins.uz/</t>
  </si>
  <si>
    <t xml:space="preserve">https://www.google.com/maps/search/?api=1&amp;query=City%20Mall%2C%20Toshkent%2C%20Tashkent%2C%20Uzbekistan</t>
  </si>
  <si>
    <t xml:space="preserve">Muzqaymoq tarmog'i</t>
  </si>
  <si>
    <t xml:space="preserve">Viva Maria Chocolaterie</t>
  </si>
  <si>
    <t xml:space="preserve">Kiyev ko'chasi 55, Toshkent</t>
  </si>
  <si>
    <t xml:space="preserve">+998 90 917 35 75</t>
  </si>
  <si>
    <t xml:space="preserve">https://www.google.com/maps/search/?api=1&amp;query=Kiyev%20ko%27chasi%2055%2C%20Toshkent%2C%20Tashkent%2C%20Uzbekistan</t>
  </si>
  <si>
    <t xml:space="preserve">Shokolodlar, muzqaymoq va choy, Google reyting 4.8 (74)</t>
  </si>
  <si>
    <t xml:space="preserve">Roun'D Coffee &amp; Desserts</t>
  </si>
  <si>
    <t xml:space="preserve">+998 90 122 28 14</t>
  </si>
  <si>
    <t xml:space="preserve">http://www.instagram.com/roun.dessert.cafe</t>
  </si>
  <si>
    <t xml:space="preserve">Koreys uslubidagi kafe, Google reyting 4.5 (82)</t>
  </si>
  <si>
    <t xml:space="preserve">Giotto (Amir Temur)</t>
  </si>
  <si>
    <t xml:space="preserve">Amir Temur shox ko'chasi 1, Toshkent</t>
  </si>
  <si>
    <t xml:space="preserve">+998 71 234 96 65</t>
  </si>
  <si>
    <t xml:space="preserve">https://www.google.com/maps/search/?api=1&amp;query=Amir%20Temur%20shox%20ko%27chasi%201%2C%20Toshkent%2C%20Tashkent%2C%20Uzbekistan</t>
  </si>
  <si>
    <t xml:space="preserve">Giotto tarmog'ining boshqa filiali</t>
  </si>
  <si>
    <t xml:space="preserve">Otto Restaurant</t>
  </si>
  <si>
    <t xml:space="preserve">Shahrisabz ko'chasi 30А, Toshkent</t>
  </si>
  <si>
    <t xml:space="preserve">https://www.google.com/maps/search/?api=1&amp;query=Shahrisabz%20ko%27chasi%2030%D0%90%2C%20Toshkent%2C%20Tashkent%2C%20Uzbekistan</t>
  </si>
  <si>
    <t xml:space="preserve">Turk oshxonasi, 'King Breakfast' bilan mashhur</t>
  </si>
  <si>
    <t xml:space="preserve">Bon! (Next TRC)</t>
  </si>
  <si>
    <t xml:space="preserve">ABN MB Group tarmog'i filiali</t>
  </si>
  <si>
    <t xml:space="preserve">Bon! (Chimkentskaya)</t>
  </si>
  <si>
    <t xml:space="preserve">Chimkentskaya ko'chasi 21, Toshkent</t>
  </si>
  <si>
    <t xml:space="preserve">https://www.google.com/maps/search/?api=1&amp;query=Chimkentskaya%20ko%27chasi%2021%2C%20Toshkent%2C%20Tashkent%2C%20Uzbekistan</t>
  </si>
  <si>
    <t xml:space="preserve">Toshkent Restoranlari — Dashboard</t>
  </si>
  <si>
    <t xml:space="preserve">Jami restoranlar</t>
  </si>
  <si>
    <t xml:space="preserve">Telefon mavjud bo'lganlar soni</t>
  </si>
  <si>
    <t xml:space="preserve">Instagram mavjud bo'lganlar soni</t>
  </si>
  <si>
    <t xml:space="preserve">Telegram mavjud bo'lganlar soni</t>
  </si>
  <si>
    <t xml:space="preserve">Website mavjud bo'lganlar soni</t>
  </si>
  <si>
    <t xml:space="preserve">Statuslar bo'yicha taqsimot</t>
  </si>
  <si>
    <t xml:space="preserve">Status</t>
  </si>
  <si>
    <t xml:space="preserve">Soni</t>
  </si>
  <si>
    <t xml:space="preserve">🟡 Aloqada</t>
  </si>
  <si>
    <t xml:space="preserve">🔵 Kelishildi</t>
  </si>
  <si>
    <t xml:space="preserve">🔴 Rad etildi</t>
  </si>
  <si>
    <t xml:space="preserve">Izoh: Ushbu ro'yxatdagi barcha restoranlar internet manbalari (rasmiy sayt, Google/Tripadvisor sharhlarini agregatsiya qiluvchi platformalar, mahalliy media) orqali tasdiqlangan. Telefon/Instagram/Telegram/Website ustunlarida topilmagan ma'lumotlar 'Mavjud emas' deb belgilangan.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</si>
</sst>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4E78"/>
        <sz val="10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D9D9D9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Statuslar bo'yicha taqsimot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Soni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🟢 Yangi</c:v>
                </c:pt>
                <c:pt idx="1">
                  <c:v>🟡 Aloqada</c:v>
                </c:pt>
                <c:pt idx="2">
                  <c:v>🔵 Kelishildi</c:v>
                </c:pt>
                <c:pt idx="3">
                  <c:v>🔴 Rad etildi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4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96969953"/>
        <c:axId val="99055657"/>
      </c:barChart>
      <c:catAx>
        <c:axId val="969699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55657"/>
        <c:crosses val="autoZero"/>
        <c:auto val="1"/>
        <c:lblAlgn val="ctr"/>
        <c:lblOffset val="100"/>
        <c:noMultiLvlLbl val="0"/>
      </c:catAx>
      <c:valAx>
        <c:axId val="99055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69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14</xdr:col>
      <xdr:colOff>82800</xdr:colOff>
      <xdr:row>18</xdr:row>
      <xdr:rowOff>96120</xdr:rowOff>
    </xdr:to>
    <xdr:graphicFrame>
      <xdr:nvGraphicFramePr>
        <xdr:cNvPr id="0" name="Chart 1"/>
        <xdr:cNvGraphicFramePr/>
      </xdr:nvGraphicFramePr>
      <xdr:xfrm>
        <a:off x="380628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aravangroup.uz/" TargetMode="External"/><Relationship Id="rId2" Type="http://schemas.openxmlformats.org/officeDocument/2006/relationships/hyperlink" Target="https://www.google.com/maps/search/?api=1&amp;query=Abdulla%20Qahhor%20ko%27chasi%2022%2C%20Toshkent%2C%20Tashkent%2C%20Uzbekistan" TargetMode="External"/><Relationship Id="rId3" Type="http://schemas.openxmlformats.org/officeDocument/2006/relationships/hyperlink" Target="http://jumanji.uz/" TargetMode="External"/><Relationship Id="rId4" Type="http://schemas.openxmlformats.org/officeDocument/2006/relationships/hyperlink" Target="https://www.google.com/maps/search/?api=1&amp;query=Yusuf%20Xos%20Xojib%20ko%27chasi%2062%2C%20Toshkent%2C%20Tashkent%2C%20Uzbekistan" TargetMode="External"/><Relationship Id="rId5" Type="http://schemas.openxmlformats.org/officeDocument/2006/relationships/hyperlink" Target="https://www.google.com/maps/search/?api=1&amp;query=Shahrisabz%20ko%27chasi%2023%2C%20Toshkent%2C%20Tashkent%2C%20Uzbekistan" TargetMode="External"/><Relationship Id="rId6" Type="http://schemas.openxmlformats.org/officeDocument/2006/relationships/hyperlink" Target="https://caravangroup.uz/" TargetMode="External"/><Relationship Id="rId7" Type="http://schemas.openxmlformats.org/officeDocument/2006/relationships/hyperlink" Target="https://www.google.com/maps/search/?api=1&amp;query=Bobur%20ko%27chasi%2014%2C%20Toshkent%2C%20Tashkent%2C%20Uzbekistan" TargetMode="External"/><Relationship Id="rId8" Type="http://schemas.openxmlformats.org/officeDocument/2006/relationships/hyperlink" Target="https://taplink.cc/afsona_rest" TargetMode="External"/><Relationship Id="rId9" Type="http://schemas.openxmlformats.org/officeDocument/2006/relationships/hyperlink" Target="https://www.google.com/maps/search/?api=1&amp;query=Taras%20Shevchenko%20ko%27chasi%2028%2C%20Toshkent%2C%20Tashkent%2C%20Uzbekistan" TargetMode="External"/><Relationship Id="rId10" Type="http://schemas.openxmlformats.org/officeDocument/2006/relationships/hyperlink" Target="http://gruzinskiy.uz/" TargetMode="External"/><Relationship Id="rId11" Type="http://schemas.openxmlformats.org/officeDocument/2006/relationships/hyperlink" Target="https://www.google.com/maps/search/?api=1&amp;query=Abdulla%20Qahhor%20ko%27chasi%2015%2C%20Toshkent%2C%20Tashkent%2C%20Uzbekistan" TargetMode="External"/><Relationship Id="rId12" Type="http://schemas.openxmlformats.org/officeDocument/2006/relationships/hyperlink" Target="https://www.google.com/maps/search/?api=1&amp;query=Taras%20Shevchenko%20ko%27chasi%2036&#1040;%2C%20Toshkent%2C%20Tashkent%2C%20Uzbekistan" TargetMode="External"/><Relationship Id="rId13" Type="http://schemas.openxmlformats.org/officeDocument/2006/relationships/hyperlink" Target="http://www.abnmbgroup.com/" TargetMode="External"/><Relationship Id="rId14" Type="http://schemas.openxmlformats.org/officeDocument/2006/relationships/hyperlink" Target="https://www.google.com/maps/search/?api=1&amp;query=Fidokor%20ko%27chasi%2040%2C%20Toshkent%2C%20Tashkent%2C%20Uzbekistan" TargetMode="External"/><Relationship Id="rId15" Type="http://schemas.openxmlformats.org/officeDocument/2006/relationships/hyperlink" Target="http://www.abnmbgroup.com/" TargetMode="External"/><Relationship Id="rId16" Type="http://schemas.openxmlformats.org/officeDocument/2006/relationships/hyperlink" Target="https://www.google.com/maps/search/?api=1&amp;query=Bobur%20ko%27chasi%20174%2C%20Toshkent%2C%20Tashkent%2C%20Uzbekistan" TargetMode="External"/><Relationship Id="rId17" Type="http://schemas.openxmlformats.org/officeDocument/2006/relationships/hyperlink" Target="https://instagram.com/pierepublicuz" TargetMode="External"/><Relationship Id="rId18" Type="http://schemas.openxmlformats.org/officeDocument/2006/relationships/hyperlink" Target="https://www.google.com/maps/search/?api=1&amp;query=Shahrisabz%20ko%27chasi%2033-34%2C%20Toshkent%2C%20Tashkent%2C%20Uzbekistan" TargetMode="External"/><Relationship Id="rId19" Type="http://schemas.openxmlformats.org/officeDocument/2006/relationships/hyperlink" Target="https://www.google.com/maps/search/?api=1&amp;query=Said%20Baraka%20ko%27chasi%2016B%2C%20Toshkent%2C%20Tashkent%2C%20Uzbekistan" TargetMode="External"/><Relationship Id="rId20" Type="http://schemas.openxmlformats.org/officeDocument/2006/relationships/hyperlink" Target="http://www.abnmbgroup.com/" TargetMode="External"/><Relationship Id="rId21" Type="http://schemas.openxmlformats.org/officeDocument/2006/relationships/hyperlink" Target="https://www.google.com/maps/search/?api=1&amp;query=Shota%20Rustaveli%20ko%27chasi%2063%2C%20Toshkent%2C%20Tashkent%2C%20Uzbekistan" TargetMode="External"/><Relationship Id="rId22" Type="http://schemas.openxmlformats.org/officeDocument/2006/relationships/hyperlink" Target="https://bnb.uz/" TargetMode="External"/><Relationship Id="rId23" Type="http://schemas.openxmlformats.org/officeDocument/2006/relationships/hyperlink" Target="https://www.google.com/maps/search/?api=1&amp;query=Shota%20Rustaveli%20ko%27chasi%2030%2C%20Toshkent%2C%20Tashkent%2C%20Uzbekistan" TargetMode="External"/><Relationship Id="rId24" Type="http://schemas.openxmlformats.org/officeDocument/2006/relationships/hyperlink" Target="https://bnb.uz/" TargetMode="External"/><Relationship Id="rId25" Type="http://schemas.openxmlformats.org/officeDocument/2006/relationships/hyperlink" Target="https://www.google.com/maps/search/?api=1&amp;query=Chexov%20ko%27chasi%2025%2C%20Toshkent%2C%20Tashkent%2C%20Uzbekistan" TargetMode="External"/><Relationship Id="rId26" Type="http://schemas.openxmlformats.org/officeDocument/2006/relationships/hyperlink" Target="https://www.facebook.com/TheIrishPubTashkent" TargetMode="External"/><Relationship Id="rId27" Type="http://schemas.openxmlformats.org/officeDocument/2006/relationships/hyperlink" Target="https://www.google.com/maps/search/?api=1&amp;query=Taras%20Shevchenko%20ko%27chasi%2030%2C%20Toshkent%2C%20Tashkent%2C%20Uzbekistan" TargetMode="External"/><Relationship Id="rId28" Type="http://schemas.openxmlformats.org/officeDocument/2006/relationships/hyperlink" Target="https://www.google.com/maps/search/?api=1&amp;query=Matbuotchilar%20ko%27chasi%209%2C%20Toshkent%2C%20Tashkent%2C%20Uzbekistan" TargetMode="External"/><Relationship Id="rId29" Type="http://schemas.openxmlformats.org/officeDocument/2006/relationships/hyperlink" Target="http://www.fornlebnen.com/" TargetMode="External"/><Relationship Id="rId30" Type="http://schemas.openxmlformats.org/officeDocument/2006/relationships/hyperlink" Target="https://www.google.com/maps/search/?api=1&amp;query=Muqimiy%201-tor%20ko%27cha%208A%2C%20Toshkent%2C%20Tashkent%2C%20Uzbekistan" TargetMode="External"/><Relationship Id="rId31" Type="http://schemas.openxmlformats.org/officeDocument/2006/relationships/hyperlink" Target="https://www.google.com/maps/search/?api=1&amp;query=Mirzo%20Ulug%27bek%20shoh%20ko%27chasi%2C%20Toshkent%2C%20Tashkent%2C%20Uzbekistan" TargetMode="External"/><Relationship Id="rId32" Type="http://schemas.openxmlformats.org/officeDocument/2006/relationships/hyperlink" Target="https://breadly.uz/" TargetMode="External"/><Relationship Id="rId33" Type="http://schemas.openxmlformats.org/officeDocument/2006/relationships/hyperlink" Target="https://www.google.com/maps/search/?api=1&amp;query=Okqo%27rg%27on%20ko%27chasi%2025%2C%20Toshkent%2C%20Tashkent%2C%20Uzbekistan" TargetMode="External"/><Relationship Id="rId34" Type="http://schemas.openxmlformats.org/officeDocument/2006/relationships/hyperlink" Target="https://www.facebook.com/Broccoli.uz/" TargetMode="External"/><Relationship Id="rId35" Type="http://schemas.openxmlformats.org/officeDocument/2006/relationships/hyperlink" Target="https://www.google.com/maps/search/?api=1&amp;query=Chexov%20ko%27chasi%207%2C%20Toshkent%2C%20Tashkent%2C%20Uzbekistan" TargetMode="External"/><Relationship Id="rId36" Type="http://schemas.openxmlformats.org/officeDocument/2006/relationships/hyperlink" Target="http://www.vohhabrasserie.uz/" TargetMode="External"/><Relationship Id="rId37" Type="http://schemas.openxmlformats.org/officeDocument/2006/relationships/hyperlink" Target="https://www.google.com/maps/search/?api=1&amp;query=Afrosiyob%20ko%27chasi%2041%2C%20Toshkent%2C%20Tashkent%2C%20Uzbekistan" TargetMode="External"/><Relationship Id="rId38" Type="http://schemas.openxmlformats.org/officeDocument/2006/relationships/hyperlink" Target="https://www.facebook.com/cookbookworkshop/" TargetMode="External"/><Relationship Id="rId39" Type="http://schemas.openxmlformats.org/officeDocument/2006/relationships/hyperlink" Target="https://www.google.com/maps/search/?api=1&amp;query=Zulfiyaxonim%20ko%27chasi%2018%2C%20Toshkent%2C%20Tashkent%2C%20Uzbekistan" TargetMode="External"/><Relationship Id="rId40" Type="http://schemas.openxmlformats.org/officeDocument/2006/relationships/hyperlink" Target="https://www.google.com/maps/search/?api=1&amp;query=Sodiq%20Azimov%20ko%27chasi%2031%2C%20Toshkent%2C%20Tashkent%2C%20Uzbekistan" TargetMode="External"/><Relationship Id="rId41" Type="http://schemas.openxmlformats.org/officeDocument/2006/relationships/hyperlink" Target="http://www.abnmbgroup.com/" TargetMode="External"/><Relationship Id="rId42" Type="http://schemas.openxmlformats.org/officeDocument/2006/relationships/hyperlink" Target="https://www.google.com/maps/search/?api=1&amp;query=Shota%20Rustaveli%20ko%27chasi%2063%2C%20Toshkent%2C%20Tashkent%2C%20Uzbekistan" TargetMode="External"/><Relationship Id="rId43" Type="http://schemas.openxmlformats.org/officeDocument/2006/relationships/hyperlink" Target="https://www.google.com/maps/search/?api=1&amp;query=Sirk%20ro%27parasida%2C%20Toshkent%2C%20Tashkent%2C%20Uzbekistan" TargetMode="External"/><Relationship Id="rId44" Type="http://schemas.openxmlformats.org/officeDocument/2006/relationships/hyperlink" Target="https://www.google.com/maps/search/?api=1&amp;query=Mustaqillik%20shoh%20ko%27chasi%2C%20Toshkent%2C%20Tashkent%2C%20Uzbekistan" TargetMode="External"/><Relationship Id="rId45" Type="http://schemas.openxmlformats.org/officeDocument/2006/relationships/hyperlink" Target="https://familygarden.su/syrovarnyatashkent/" TargetMode="External"/><Relationship Id="rId46" Type="http://schemas.openxmlformats.org/officeDocument/2006/relationships/hyperlink" Target="https://www.google.com/maps/search/?api=1&amp;query=Shahrisabz%20ko%27chasi%2031B%2C%20Toshkent%2C%20Tashkent%2C%20Uzbekistan" TargetMode="External"/><Relationship Id="rId47" Type="http://schemas.openxmlformats.org/officeDocument/2006/relationships/hyperlink" Target="http://ictashkent.com/" TargetMode="External"/><Relationship Id="rId48" Type="http://schemas.openxmlformats.org/officeDocument/2006/relationships/hyperlink" Target="https://www.google.com/maps/search/?api=1&amp;query=Shahrisabz%20ko%27chasi%202%20%28InterContinental%29%2C%20Toshkent%2C%20Tashkent%2C%20Uzbekistan" TargetMode="External"/><Relationship Id="rId49" Type="http://schemas.openxmlformats.org/officeDocument/2006/relationships/hyperlink" Target="https://assorti.uz/" TargetMode="External"/><Relationship Id="rId50" Type="http://schemas.openxmlformats.org/officeDocument/2006/relationships/hyperlink" Target="https://www.google.com/maps/search/?api=1&amp;query=Le%20Grand%20Plaza%20Hotel%2C%20O%27zbekiston%20Ovozi%20ko%27chasi%202%2C%20Toshkent%2C%20Tashkent%2C%20Uzbekistan" TargetMode="External"/><Relationship Id="rId51" Type="http://schemas.openxmlformats.org/officeDocument/2006/relationships/hyperlink" Target="https://www.google.com/maps/search/?api=1&amp;query=Navoiy%20shox%20ko%27chasi%201%20%28Hyatt%20Regency%29%2C%20Toshkent%2C%20Tashkent%2C%20Uzbekistan" TargetMode="External"/><Relationship Id="rId52" Type="http://schemas.openxmlformats.org/officeDocument/2006/relationships/hyperlink" Target="https://www.google.com/maps/search/?api=1&amp;query=Shota%20Rustaveli%20ko%27chasi%2028%2C%20Toshkent%2C%20Tashkent%2C%20Uzbekistan" TargetMode="External"/><Relationship Id="rId53" Type="http://schemas.openxmlformats.org/officeDocument/2006/relationships/hyperlink" Target="http://www.beshqozon.uz/" TargetMode="External"/><Relationship Id="rId54" Type="http://schemas.openxmlformats.org/officeDocument/2006/relationships/hyperlink" Target="https://www.google.com/maps/search/?api=1&amp;query=Gvardiya%20polkovnigi%20Xodjayev%20ko%27chasi%201%2C%20Toshkent%2C%20Tashkent%2C%20Uzbekistan" TargetMode="External"/><Relationship Id="rId55" Type="http://schemas.openxmlformats.org/officeDocument/2006/relationships/hyperlink" Target="https://www.google.com/maps/search/?api=1&amp;query=Navoiy%20shox%20ko%27chasi%201%20%28Hyatt%20Regency%29%2C%20Toshkent%2C%20Tashkent%2C%20Uzbekistan" TargetMode="External"/><Relationship Id="rId56" Type="http://schemas.openxmlformats.org/officeDocument/2006/relationships/hyperlink" Target="https://www.google.com/maps/search/?api=1&amp;query=Amir%20Temur%20shox%20ko%27chasi%2019%2C%20Toshkent%2C%20Tashkent%2C%20Uzbekistan" TargetMode="External"/><Relationship Id="rId57" Type="http://schemas.openxmlformats.org/officeDocument/2006/relationships/hyperlink" Target="https://www.google.com/maps/search/?api=1&amp;query=Mahmud%20Torobiy%20ko%27chasi%2029%2C%20Toshkent%2C%20Tashkent%2C%20Uzbekistan" TargetMode="External"/><Relationship Id="rId58" Type="http://schemas.openxmlformats.org/officeDocument/2006/relationships/hyperlink" Target="https://www.google.com/maps/search/?api=1&amp;query=Baynalminal%20ko%27chasi%2C%20Toshkent%2C%20Tashkent%2C%20Uzbekistan" TargetMode="External"/><Relationship Id="rId59" Type="http://schemas.openxmlformats.org/officeDocument/2006/relationships/hyperlink" Target="https://www.google.com/maps/search/?api=1&amp;query=Glinka%20ko%27chasi%2046%2C%20Toshkent%2C%20Tashkent%2C%20Uzbekistan" TargetMode="External"/><Relationship Id="rId60" Type="http://schemas.openxmlformats.org/officeDocument/2006/relationships/hyperlink" Target="http://gosht.uz/" TargetMode="External"/><Relationship Id="rId61" Type="http://schemas.openxmlformats.org/officeDocument/2006/relationships/hyperlink" Target="https://www.google.com/maps/search/?api=1&amp;query=Mirobod%20tumani%2C%20Toshkent%2C%20Tashkent%2C%20Uzbekistan" TargetMode="External"/><Relationship Id="rId62" Type="http://schemas.openxmlformats.org/officeDocument/2006/relationships/hyperlink" Target="https://bellissimo.uz/" TargetMode="External"/><Relationship Id="rId63" Type="http://schemas.openxmlformats.org/officeDocument/2006/relationships/hyperlink" Target="https://www.google.com/maps/search/?api=1&amp;query=Bobur%20ko%27chasi%206%20%28Next%20savdo%20markazi%29%2C%20Toshkent%2C%20Tashkent%2C%20Uzbekistan" TargetMode="External"/><Relationship Id="rId64" Type="http://schemas.openxmlformats.org/officeDocument/2006/relationships/hyperlink" Target="https://instagram.com/shefburger_uz" TargetMode="External"/><Relationship Id="rId65" Type="http://schemas.openxmlformats.org/officeDocument/2006/relationships/hyperlink" Target="https://www.google.com/maps/search/?api=1&amp;query=Shota%20Rustaveli%20ko%27chasi%2013%2C%20Toshkent%2C%20Tashkent%2C%20Uzbekistan" TargetMode="External"/><Relationship Id="rId66" Type="http://schemas.openxmlformats.org/officeDocument/2006/relationships/hyperlink" Target="https://instagram.com/shefburger_uz" TargetMode="External"/><Relationship Id="rId67" Type="http://schemas.openxmlformats.org/officeDocument/2006/relationships/hyperlink" Target="https://www.google.com/maps/search/?api=1&amp;query=Amir%20Temur%20shox%20ko%27chasi%2070%2C%20Toshkent%2C%20Tashkent%2C%20Uzbekistan" TargetMode="External"/><Relationship Id="rId68" Type="http://schemas.openxmlformats.org/officeDocument/2006/relationships/hyperlink" Target="https://www.google.com/maps/search/?api=1&amp;query=Istiqbol%20ko%27chasi%208%2C%20Toshkent%2C%20Tashkent%2C%20Uzbekistan" TargetMode="External"/><Relationship Id="rId69" Type="http://schemas.openxmlformats.org/officeDocument/2006/relationships/hyperlink" Target="https://dodopizza.uz/" TargetMode="External"/><Relationship Id="rId70" Type="http://schemas.openxmlformats.org/officeDocument/2006/relationships/hyperlink" Target="https://www.google.com/maps/search/?api=1&amp;query=Said%20Baraka%20ko%27chasi%2016&#1041;%2C%20Toshkent%2C%20Tashkent%2C%20Uzbekistan" TargetMode="External"/><Relationship Id="rId71" Type="http://schemas.openxmlformats.org/officeDocument/2006/relationships/hyperlink" Target="https://blackstarburger.ru/zavedeniya/bsb-tashkent/" TargetMode="External"/><Relationship Id="rId72" Type="http://schemas.openxmlformats.org/officeDocument/2006/relationships/hyperlink" Target="https://www.google.com/maps/search/?api=1&amp;query=Sodiq%20Azimov%20ko%27chasi%2C%20Toshkent%2C%20Tashkent%2C%20Uzbekistan" TargetMode="External"/><Relationship Id="rId73" Type="http://schemas.openxmlformats.org/officeDocument/2006/relationships/hyperlink" Target="https://instagram.com/beerkovich.uz" TargetMode="External"/><Relationship Id="rId74" Type="http://schemas.openxmlformats.org/officeDocument/2006/relationships/hyperlink" Target="https://www.google.com/maps/search/?api=1&amp;query=Mirobod%20ko%27chasi%209&#1040;%2C%20Toshkent%2C%20Tashkent%2C%20Uzbekistan" TargetMode="External"/><Relationship Id="rId75" Type="http://schemas.openxmlformats.org/officeDocument/2006/relationships/hyperlink" Target="https://www.google.com/maps/search/?api=1&amp;query=Tafakkur%20ko%27chasi%2057%2C%20Toshkent%2C%20Tashkent%2C%20Uzbekistan" TargetMode="External"/><Relationship Id="rId76" Type="http://schemas.openxmlformats.org/officeDocument/2006/relationships/hyperlink" Target="https://yaponamama.uz/" TargetMode="External"/><Relationship Id="rId77" Type="http://schemas.openxmlformats.org/officeDocument/2006/relationships/hyperlink" Target="https://www.google.com/maps/search/?api=1&amp;query=Shota%20Rustaveli%20ko%27chasi%2069A%2C%20Toshkent%2C%20Tashkent%2C%20Uzbekistan" TargetMode="External"/><Relationship Id="rId78" Type="http://schemas.openxmlformats.org/officeDocument/2006/relationships/hyperlink" Target="https://facebook.com/merhabasteakhouse" TargetMode="External"/><Relationship Id="rId79" Type="http://schemas.openxmlformats.org/officeDocument/2006/relationships/hyperlink" Target="https://www.google.com/maps/search/?api=1&amp;query=Yangi%20Kuylyuk%20ko%27chasi%2018%2C%20Toshkent%2C%20Tashkent%2C%20Uzbekistan" TargetMode="External"/><Relationship Id="rId80" Type="http://schemas.openxmlformats.org/officeDocument/2006/relationships/hyperlink" Target="https://www.instagram.com/teppanyaki.uz/" TargetMode="External"/><Relationship Id="rId81" Type="http://schemas.openxmlformats.org/officeDocument/2006/relationships/hyperlink" Target="https://www.google.com/maps/search/?api=1&amp;query=Shahrisabz%20ko%27chasi%2033&#1040;%2C%20Toshkent%2C%20Tashkent%2C%20Uzbekistan" TargetMode="External"/><Relationship Id="rId82" Type="http://schemas.openxmlformats.org/officeDocument/2006/relationships/hyperlink" Target="https://www.instagram.com/furusato_tashkent" TargetMode="External"/><Relationship Id="rId83" Type="http://schemas.openxmlformats.org/officeDocument/2006/relationships/hyperlink" Target="https://www.google.com/maps/search/?api=1&amp;query=Niyozbek%20Yo%27li%20ko%27chasi%203-tor%2C%206A-bino%2C%20Toshkent%2C%20Tashkent%2C%20Uzbekistan" TargetMode="External"/><Relationship Id="rId84" Type="http://schemas.openxmlformats.org/officeDocument/2006/relationships/hyperlink" Target="http://www.sushi-time.uz/" TargetMode="External"/><Relationship Id="rId85" Type="http://schemas.openxmlformats.org/officeDocument/2006/relationships/hyperlink" Target="https://www.google.com/maps/search/?api=1&amp;query=Mirabad%20ko%27chasi%2012%2C%20Toshkent%2C%20Tashkent%2C%20Uzbekistan" TargetMode="External"/><Relationship Id="rId86" Type="http://schemas.openxmlformats.org/officeDocument/2006/relationships/hyperlink" Target="https://yaponamama.uz/" TargetMode="External"/><Relationship Id="rId87" Type="http://schemas.openxmlformats.org/officeDocument/2006/relationships/hyperlink" Target="https://www.google.com/maps/search/?api=1&amp;query=Taras%20Shevchenko%20ko%27chasi%2C%20Toshkent%2C%20Tashkent%2C%20Uzbekistan" TargetMode="External"/><Relationship Id="rId88" Type="http://schemas.openxmlformats.org/officeDocument/2006/relationships/hyperlink" Target="https://yaponamama.uz/" TargetMode="External"/><Relationship Id="rId89" Type="http://schemas.openxmlformats.org/officeDocument/2006/relationships/hyperlink" Target="https://www.google.com/maps/search/?api=1&amp;query=Shivli%20ko%27chasi%2055%2C%20Toshkent%2C%20Tashkent%2C%20Uzbekistan" TargetMode="External"/><Relationship Id="rId90" Type="http://schemas.openxmlformats.org/officeDocument/2006/relationships/hyperlink" Target="https://yaponamama.uz/" TargetMode="External"/><Relationship Id="rId91" Type="http://schemas.openxmlformats.org/officeDocument/2006/relationships/hyperlink" Target="https://www.google.com/maps/search/?api=1&amp;query=Mirzo%20Ulug%27bek%20shox%20ko%27chasi%204%2C%20Toshkent%2C%20Tashkent%2C%20Uzbekistan" TargetMode="External"/><Relationship Id="rId92" Type="http://schemas.openxmlformats.org/officeDocument/2006/relationships/hyperlink" Target="https://t.me/TwiceSpicebot" TargetMode="External"/><Relationship Id="rId93" Type="http://schemas.openxmlformats.org/officeDocument/2006/relationships/hyperlink" Target="https://www.google.com/maps/search/?api=1&amp;query=Okqo%27rg%27on%20ko%27chasi%2018%2C%20Toshkent%2C%20Tashkent%2C%20Uzbekistan" TargetMode="External"/><Relationship Id="rId94" Type="http://schemas.openxmlformats.org/officeDocument/2006/relationships/hyperlink" Target="https://instagram.com/yaposha.uz" TargetMode="External"/><Relationship Id="rId95" Type="http://schemas.openxmlformats.org/officeDocument/2006/relationships/hyperlink" Target="https://www.google.com/maps/search/?api=1&amp;query=Yusuf%20Xos%20Xojib%20ko%27chasi%2032%2C%20Toshkent%2C%20Tashkent%2C%20Uzbekistan" TargetMode="External"/><Relationship Id="rId96" Type="http://schemas.openxmlformats.org/officeDocument/2006/relationships/hyperlink" Target="https://t.me/Sushiwokmasterbot" TargetMode="External"/><Relationship Id="rId97" Type="http://schemas.openxmlformats.org/officeDocument/2006/relationships/hyperlink" Target="https://www.google.com/maps/search/?api=1&amp;query=Qo%27shbegi%20ko%27chasi%206/1%2C%20Toshkent%2C%20Tashkent%2C%20Uzbekistan" TargetMode="External"/><Relationship Id="rId98" Type="http://schemas.openxmlformats.org/officeDocument/2006/relationships/hyperlink" Target="https://tanukifamily.uz/" TargetMode="External"/><Relationship Id="rId99" Type="http://schemas.openxmlformats.org/officeDocument/2006/relationships/hyperlink" Target="https://www.google.com/maps/search/?api=1&amp;query=Taras%20Shevchenko%20ko%27chasi%2021&#1040;%2C%20Toshkent%2C%20Tashkent%2C%20Uzbekistan" TargetMode="External"/><Relationship Id="rId100" Type="http://schemas.openxmlformats.org/officeDocument/2006/relationships/hyperlink" Target="https://tanukifamily.uz/" TargetMode="External"/><Relationship Id="rId101" Type="http://schemas.openxmlformats.org/officeDocument/2006/relationships/hyperlink" Target="https://www.google.com/maps/search/?api=1&amp;query=Botir%20Zokirov%20ko%27chasi%207%20%28Tashkent%20City%20Mall%29%2C%20Toshkent%2C%20Tashkent%2C%20Uzbekistan" TargetMode="External"/><Relationship Id="rId102" Type="http://schemas.openxmlformats.org/officeDocument/2006/relationships/hyperlink" Target="https://menu.tomyumbar.com/?tashkent" TargetMode="External"/><Relationship Id="rId103" Type="http://schemas.openxmlformats.org/officeDocument/2006/relationships/hyperlink" Target="https://www.google.com/maps/search/?api=1&amp;query=Taras%20Shevchenko%20ko%27chasi%2021&#1040;%2C%20Toshkent%2C%20Tashkent%2C%20Uzbekistan" TargetMode="External"/><Relationship Id="rId104" Type="http://schemas.openxmlformats.org/officeDocument/2006/relationships/hyperlink" Target="https://www.google.com/maps/search/?api=1&amp;query=O%27zbekiston%20shox%20ko%27chasi%2017%2C%20Toshkent%2C%20Tashkent%2C%20Uzbekistan" TargetMode="External"/><Relationship Id="rId105" Type="http://schemas.openxmlformats.org/officeDocument/2006/relationships/hyperlink" Target="https://www.google.com/maps/search/?api=1&amp;query=Chorsu%20bozori%20yaqinida%2C%20Toshkent%2C%20Tashkent%2C%20Uzbekistan" TargetMode="External"/><Relationship Id="rId106" Type="http://schemas.openxmlformats.org/officeDocument/2006/relationships/hyperlink" Target="https://www.google.com/maps/search/?api=1&amp;query=Turkiston%20ko%27chasi%2C%20Toshkent%2C%20Tashkent%2C%20Uzbekistan" TargetMode="External"/><Relationship Id="rId107" Type="http://schemas.openxmlformats.org/officeDocument/2006/relationships/hyperlink" Target="https://burgerandlounge.uz/ru" TargetMode="External"/><Relationship Id="rId108" Type="http://schemas.openxmlformats.org/officeDocument/2006/relationships/hyperlink" Target="https://www.google.com/maps/search/?api=1&amp;query=Buyuk%20Ipak%20Yo%27li%20ko%27chasi%20158%2C%20Toshkent%2C%20Tashkent%2C%20Uzbekistan" TargetMode="External"/><Relationship Id="rId109" Type="http://schemas.openxmlformats.org/officeDocument/2006/relationships/hyperlink" Target="http://www.smi.uz/" TargetMode="External"/><Relationship Id="rId110" Type="http://schemas.openxmlformats.org/officeDocument/2006/relationships/hyperlink" Target="https://www.google.com/maps/search/?api=1&amp;query=Kari%20Niyozov%20ko%27chasi%2068A%2C%20Toshkent%2C%20Tashkent%2C%20Uzbekistan" TargetMode="External"/><Relationship Id="rId111" Type="http://schemas.openxmlformats.org/officeDocument/2006/relationships/hyperlink" Target="https://facebook.com/Qanotchi/" TargetMode="External"/><Relationship Id="rId112" Type="http://schemas.openxmlformats.org/officeDocument/2006/relationships/hyperlink" Target="https://www.google.com/maps/search/?api=1&amp;query=Toshkent%20shahri%2C%20Tashkent%2C%20Uzbekistan" TargetMode="External"/><Relationship Id="rId113" Type="http://schemas.openxmlformats.org/officeDocument/2006/relationships/hyperlink" Target="https://quadro.uz/" TargetMode="External"/><Relationship Id="rId114" Type="http://schemas.openxmlformats.org/officeDocument/2006/relationships/hyperlink" Target="https://www.google.com/maps/search/?api=1&amp;query=Zulfiyaxonim%20ko%27chasi%2024%2C%20Toshkent%2C%20Tashkent%2C%20Uzbekistan" TargetMode="External"/><Relationship Id="rId115" Type="http://schemas.openxmlformats.org/officeDocument/2006/relationships/hyperlink" Target="https://testo.uz/" TargetMode="External"/><Relationship Id="rId116" Type="http://schemas.openxmlformats.org/officeDocument/2006/relationships/hyperlink" Target="https://www.google.com/maps/search/?api=1&amp;query=Shota%20Rustaveli%20ko%27chasi%2018%2C%20Toshkent%2C%20Tashkent%2C%20Uzbekistan" TargetMode="External"/><Relationship Id="rId117" Type="http://schemas.openxmlformats.org/officeDocument/2006/relationships/hyperlink" Target="https://www.google.com/maps/search/?api=1&amp;query=Toshkent%20shahri%2C%20Tashkent%2C%20Uzbekistan" TargetMode="External"/><Relationship Id="rId118" Type="http://schemas.openxmlformats.org/officeDocument/2006/relationships/hyperlink" Target="https://htrmeals.uz/" TargetMode="External"/><Relationship Id="rId119" Type="http://schemas.openxmlformats.org/officeDocument/2006/relationships/hyperlink" Target="https://www.google.com/maps/search/?api=1&amp;query=Ukchi%20ko%27chasi%201%20%28Hilton%20Tashkent%20City%29%2C%20Toshkent%2C%20Tashkent%2C%20Uzbekistan" TargetMode="External"/><Relationship Id="rId120" Type="http://schemas.openxmlformats.org/officeDocument/2006/relationships/hyperlink" Target="https://s1.menu-giotto.uz/" TargetMode="External"/><Relationship Id="rId121" Type="http://schemas.openxmlformats.org/officeDocument/2006/relationships/hyperlink" Target="https://www.google.com/maps/search/?api=1&amp;query=Shahrisabz%20ko%27chasi%2033&#1040;%2C%20Toshkent%2C%20Tashkent%2C%20Uzbekistan" TargetMode="External"/><Relationship Id="rId122" Type="http://schemas.openxmlformats.org/officeDocument/2006/relationships/hyperlink" Target="http://www.abnmbgroup.com/" TargetMode="External"/><Relationship Id="rId123" Type="http://schemas.openxmlformats.org/officeDocument/2006/relationships/hyperlink" Target="https://www.google.com/maps/search/?api=1&amp;query=Temur%20Malik%20ko%27chasi%203%2C%20Toshkent%2C%20Tashkent%2C%20Uzbekistan" TargetMode="External"/><Relationship Id="rId124" Type="http://schemas.openxmlformats.org/officeDocument/2006/relationships/hyperlink" Target="http://paul.uz/" TargetMode="External"/><Relationship Id="rId125" Type="http://schemas.openxmlformats.org/officeDocument/2006/relationships/hyperlink" Target="https://www.google.com/maps/search/?api=1&amp;query=Amir%20Temur%20shox%20ko%27chasi%2060%2C%20Toshkent%2C%20Tashkent%2C%20Uzbekistan" TargetMode="External"/><Relationship Id="rId126" Type="http://schemas.openxmlformats.org/officeDocument/2006/relationships/hyperlink" Target="https://safiabakery.uz/ru" TargetMode="External"/><Relationship Id="rId127" Type="http://schemas.openxmlformats.org/officeDocument/2006/relationships/hyperlink" Target="https://www.google.com/maps/search/?api=1&amp;query=Bunyodkor%20shoh%20ko%27chasi%206%2C%20Toshkent%2C%20Tashkent%2C%20Uzbekistan" TargetMode="External"/><Relationship Id="rId128" Type="http://schemas.openxmlformats.org/officeDocument/2006/relationships/hyperlink" Target="http://www.abnmbgroup.com/" TargetMode="External"/><Relationship Id="rId129" Type="http://schemas.openxmlformats.org/officeDocument/2006/relationships/hyperlink" Target="https://www.google.com/maps/search/?api=1&amp;query=Ahmad%20Donish%20ko%27chasi%2080%2C%20Toshkent%2C%20Tashkent%2C%20Uzbekistan" TargetMode="External"/><Relationship Id="rId130" Type="http://schemas.openxmlformats.org/officeDocument/2006/relationships/hyperlink" Target="https://www.google.com/maps/search/?api=1&amp;query=Imom%20At-Termiziy%20ko%27chasi%20%28Brand%20Bukhara%20yaqinida%29%2C%20Toshkent%2C%20Tashkent%2C%20Uzbekistan" TargetMode="External"/><Relationship Id="rId131" Type="http://schemas.openxmlformats.org/officeDocument/2006/relationships/hyperlink" Target="https://www.google.com/maps/search/?api=1&amp;query=Geydar%20Aliyev%20ko%27chasi%20189%2C%20Toshkent%2C%20Tashkent%2C%20Uzbekistan" TargetMode="External"/><Relationship Id="rId132" Type="http://schemas.openxmlformats.org/officeDocument/2006/relationships/hyperlink" Target="https://www.google.com/maps/search/?api=1&amp;query=O%27zbekiston%20Ovozi%20ko%27chasi%2049%2C%20Toshkent%2C%20Tashkent%2C%20Uzbekistan" TargetMode="External"/><Relationship Id="rId133" Type="http://schemas.openxmlformats.org/officeDocument/2006/relationships/hyperlink" Target="http://www.facebook.com/cafeanor" TargetMode="External"/><Relationship Id="rId134" Type="http://schemas.openxmlformats.org/officeDocument/2006/relationships/hyperlink" Target="https://www.google.com/maps/search/?api=1&amp;query=Mirobod%20ko%27chasi%2037%2C%20Toshkent%2C%20Tashkent%2C%20Uzbekistan" TargetMode="External"/><Relationship Id="rId135" Type="http://schemas.openxmlformats.org/officeDocument/2006/relationships/hyperlink" Target="https://www.google.com/maps/search/?api=1&amp;query=Xushnavo%20ko%27chasi%204%2C%20Toshkent%2C%20Tashkent%2C%20Uzbekistan" TargetMode="External"/><Relationship Id="rId136" Type="http://schemas.openxmlformats.org/officeDocument/2006/relationships/hyperlink" Target="https://bosphorusfamily.com/" TargetMode="External"/><Relationship Id="rId137" Type="http://schemas.openxmlformats.org/officeDocument/2006/relationships/hyperlink" Target="https://www.google.com/maps/search/?api=1&amp;query=Qorasaroy%20ko%27chasi%20257B%2C%20Toshkent%2C%20Tashkent%2C%20Uzbekistan" TargetMode="External"/><Relationship Id="rId138" Type="http://schemas.openxmlformats.org/officeDocument/2006/relationships/hyperlink" Target="https://www.facebook.com/restaurantpositano/" TargetMode="External"/><Relationship Id="rId139" Type="http://schemas.openxmlformats.org/officeDocument/2006/relationships/hyperlink" Target="https://www.google.com/maps/search/?api=1&amp;query=Taras%20Shevchenko%20ko%27chasi%2038&#1040;%2C%20Toshkent%2C%20Tashkent%2C%20Uzbekistan" TargetMode="External"/><Relationship Id="rId140" Type="http://schemas.openxmlformats.org/officeDocument/2006/relationships/hyperlink" Target="https://cucucina.uz/" TargetMode="External"/><Relationship Id="rId141" Type="http://schemas.openxmlformats.org/officeDocument/2006/relationships/hyperlink" Target="https://www.google.com/maps/search/?api=1&amp;query=Olmazor%20ko%27chasi%202&#1040;%2C%20Toshkent%2C%20Tashkent%2C%20Uzbekistan" TargetMode="External"/><Relationship Id="rId142" Type="http://schemas.openxmlformats.org/officeDocument/2006/relationships/hyperlink" Target="https://www.google.com/maps/search/?api=1&amp;query=Xurshid%20ko%27chasi%2057%2C%20Toshkent%2C%20Tashkent%2C%20Uzbekistan" TargetMode="External"/><Relationship Id="rId143" Type="http://schemas.openxmlformats.org/officeDocument/2006/relationships/hyperlink" Target="https://www.google.com/maps/search/?api=1&amp;query=Abdulla%20Qahhor%20ko%27chasi%2024%2C%20Toshkent%2C%20Tashkent%2C%20Uzbekistan" TargetMode="External"/><Relationship Id="rId144" Type="http://schemas.openxmlformats.org/officeDocument/2006/relationships/hyperlink" Target="https://www.google.com/maps/search/?api=1&amp;query=O%27zbekiston%20Ovozi%20ko%27chasi%2C%20Toshkent%2C%20Tashkent%2C%20Uzbekistan" TargetMode="External"/><Relationship Id="rId145" Type="http://schemas.openxmlformats.org/officeDocument/2006/relationships/hyperlink" Target="https://www.instagram.com/gavi.digavi/" TargetMode="External"/><Relationship Id="rId146" Type="http://schemas.openxmlformats.org/officeDocument/2006/relationships/hyperlink" Target="https://www.google.com/maps/search/?api=1&amp;query=Shahrisabz%20ko%27chasi%2016%2C%20Toshkent%2C%20Tashkent%2C%20Uzbekistan" TargetMode="External"/><Relationship Id="rId147" Type="http://schemas.openxmlformats.org/officeDocument/2006/relationships/hyperlink" Target="https://www.google.com/maps/search/?api=1&amp;query=Taras%20Shevchenko%20ko%27chasi%2032%2C%20Toshkent%2C%20Tashkent%2C%20Uzbekistan" TargetMode="External"/><Relationship Id="rId148" Type="http://schemas.openxmlformats.org/officeDocument/2006/relationships/hyperlink" Target="https://www.google.com/maps/search/?api=1&amp;query=Nukus%20ko%27chasi%2016%2C%20Toshkent%2C%20Tashkent%2C%20Uzbekistan" TargetMode="External"/><Relationship Id="rId149" Type="http://schemas.openxmlformats.org/officeDocument/2006/relationships/hyperlink" Target="https://www.google.com/maps/search/?api=1&amp;query=769P%2B443%2C%20Toshkent%2C%20Tashkent%2C%20Uzbekistan" TargetMode="External"/><Relationship Id="rId150" Type="http://schemas.openxmlformats.org/officeDocument/2006/relationships/hyperlink" Target="https://www.google.com/maps/search/?api=1&amp;query=Shota%20Rustaveli%20ko%27chasi%208%2C%20Toshkent%2C%20Tashkent%2C%20Uzbekistan" TargetMode="External"/><Relationship Id="rId151" Type="http://schemas.openxmlformats.org/officeDocument/2006/relationships/hyperlink" Target="https://www.google.com/maps/search/?api=1&amp;query=Glinka%20ko%27chasi%2C%20Toshkent%2C%20Tashkent%2C%20Uzbekistan" TargetMode="External"/><Relationship Id="rId152" Type="http://schemas.openxmlformats.org/officeDocument/2006/relationships/hyperlink" Target="https://cakelab.uz/ru" TargetMode="External"/><Relationship Id="rId153" Type="http://schemas.openxmlformats.org/officeDocument/2006/relationships/hyperlink" Target="https://www.google.com/maps/search/?api=1&amp;query=Mirzo%20Ulug%27bek%20shox%20ko%27chasi%2051%2C%20Toshkent%2C%20Tashkent%2C%20Uzbekistan" TargetMode="External"/><Relationship Id="rId154" Type="http://schemas.openxmlformats.org/officeDocument/2006/relationships/hyperlink" Target="http://baskinrobbins.uz/" TargetMode="External"/><Relationship Id="rId155" Type="http://schemas.openxmlformats.org/officeDocument/2006/relationships/hyperlink" Target="https://www.google.com/maps/search/?api=1&amp;query=City%20Mall%2C%20Toshkent%2C%20Tashkent%2C%20Uzbekistan" TargetMode="External"/><Relationship Id="rId156" Type="http://schemas.openxmlformats.org/officeDocument/2006/relationships/hyperlink" Target="https://www.google.com/maps/search/?api=1&amp;query=Kiyev%20ko%27chasi%2055%2C%20Toshkent%2C%20Tashkent%2C%20Uzbekistan" TargetMode="External"/><Relationship Id="rId157" Type="http://schemas.openxmlformats.org/officeDocument/2006/relationships/hyperlink" Target="http://www.instagram.com/roun.dessert.cafe" TargetMode="External"/><Relationship Id="rId158" Type="http://schemas.openxmlformats.org/officeDocument/2006/relationships/hyperlink" Target="https://www.google.com/maps/search/?api=1&amp;query=Mirabad%20ko%27chasi%2012%2C%20Toshkent%2C%20Tashkent%2C%20Uzbekistan" TargetMode="External"/><Relationship Id="rId159" Type="http://schemas.openxmlformats.org/officeDocument/2006/relationships/hyperlink" Target="https://s1.menu-giotto.uz/" TargetMode="External"/><Relationship Id="rId160" Type="http://schemas.openxmlformats.org/officeDocument/2006/relationships/hyperlink" Target="https://www.google.com/maps/search/?api=1&amp;query=Amir%20Temur%20shox%20ko%27chasi%201%2C%20Toshkent%2C%20Tashkent%2C%20Uzbekistan" TargetMode="External"/><Relationship Id="rId161" Type="http://schemas.openxmlformats.org/officeDocument/2006/relationships/hyperlink" Target="https://www.google.com/maps/search/?api=1&amp;query=Shahrisabz%20ko%27chasi%2030&#1040;%2C%20Toshkent%2C%20Tashkent%2C%20Uzbekistan" TargetMode="External"/><Relationship Id="rId162" Type="http://schemas.openxmlformats.org/officeDocument/2006/relationships/hyperlink" Target="http://www.abnmbgroup.com/" TargetMode="External"/><Relationship Id="rId163" Type="http://schemas.openxmlformats.org/officeDocument/2006/relationships/hyperlink" Target="https://www.google.com/maps/search/?api=1&amp;query=Bobur%20ko%27chasi%206%20%28Next%20savdo%20markazi%29%2C%20Toshkent%2C%20Tashkent%2C%20Uzbekistan" TargetMode="External"/><Relationship Id="rId164" Type="http://schemas.openxmlformats.org/officeDocument/2006/relationships/hyperlink" Target="http://www.abnmbgroup.com/" TargetMode="External"/><Relationship Id="rId165" Type="http://schemas.openxmlformats.org/officeDocument/2006/relationships/hyperlink" Target="https://www.google.com/maps/search/?api=1&amp;query=Chimkentskaya%20ko%27chasi%2021%2C%20Toshkent%2C%20Tashkent%2C%20Uzbekistan" TargetMode="External"/><Relationship Id="rId16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8" min="7" style="0" width="22"/>
    <col collapsed="false" customWidth="true" hidden="false" outlineLevel="0" max="9" min="9" style="0" width="26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3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18</v>
      </c>
      <c r="I2" s="4" t="s">
        <v>19</v>
      </c>
      <c r="J2" s="4" t="s">
        <v>20</v>
      </c>
      <c r="K2" s="2" t="s">
        <v>18</v>
      </c>
      <c r="L2" s="2" t="s">
        <v>21</v>
      </c>
      <c r="M2" s="3" t="s">
        <v>22</v>
      </c>
    </row>
    <row r="3" customFormat="false" ht="23.85" hidden="false" customHeight="false" outlineLevel="0" collapsed="false">
      <c r="A3" s="2" t="n">
        <v>2</v>
      </c>
      <c r="B3" s="3" t="s">
        <v>23</v>
      </c>
      <c r="C3" s="2" t="s">
        <v>14</v>
      </c>
      <c r="D3" s="2" t="s">
        <v>24</v>
      </c>
      <c r="E3" s="3" t="s">
        <v>25</v>
      </c>
      <c r="F3" s="2" t="s">
        <v>26</v>
      </c>
      <c r="G3" s="2" t="s">
        <v>18</v>
      </c>
      <c r="H3" s="2" t="s">
        <v>18</v>
      </c>
      <c r="I3" s="4" t="s">
        <v>27</v>
      </c>
      <c r="J3" s="4" t="s">
        <v>28</v>
      </c>
      <c r="K3" s="2" t="s">
        <v>18</v>
      </c>
      <c r="L3" s="2" t="s">
        <v>21</v>
      </c>
      <c r="M3" s="3" t="s">
        <v>29</v>
      </c>
    </row>
    <row r="4" customFormat="false" ht="15" hidden="false" customHeight="false" outlineLevel="0" collapsed="false">
      <c r="A4" s="2" t="n">
        <v>3</v>
      </c>
      <c r="B4" s="3" t="s">
        <v>30</v>
      </c>
      <c r="C4" s="2" t="s">
        <v>31</v>
      </c>
      <c r="D4" s="2" t="s">
        <v>24</v>
      </c>
      <c r="E4" s="3" t="s">
        <v>32</v>
      </c>
      <c r="F4" s="2" t="s">
        <v>33</v>
      </c>
      <c r="G4" s="2" t="s">
        <v>18</v>
      </c>
      <c r="H4" s="2" t="s">
        <v>18</v>
      </c>
      <c r="I4" s="2" t="s">
        <v>18</v>
      </c>
      <c r="J4" s="4" t="s">
        <v>34</v>
      </c>
      <c r="K4" s="2" t="s">
        <v>18</v>
      </c>
      <c r="L4" s="2" t="s">
        <v>21</v>
      </c>
      <c r="M4" s="3" t="s">
        <v>35</v>
      </c>
    </row>
    <row r="5" customFormat="false" ht="15" hidden="false" customHeight="false" outlineLevel="0" collapsed="false">
      <c r="A5" s="2" t="n">
        <v>4</v>
      </c>
      <c r="B5" s="3" t="s">
        <v>36</v>
      </c>
      <c r="C5" s="2" t="s">
        <v>37</v>
      </c>
      <c r="D5" s="2" t="s">
        <v>38</v>
      </c>
      <c r="E5" s="3" t="s">
        <v>39</v>
      </c>
      <c r="F5" s="2" t="s">
        <v>40</v>
      </c>
      <c r="G5" s="2" t="s">
        <v>18</v>
      </c>
      <c r="H5" s="2" t="s">
        <v>18</v>
      </c>
      <c r="I5" s="4" t="s">
        <v>19</v>
      </c>
      <c r="J5" s="4" t="s">
        <v>41</v>
      </c>
      <c r="K5" s="2" t="s">
        <v>18</v>
      </c>
      <c r="L5" s="2" t="s">
        <v>21</v>
      </c>
      <c r="M5" s="3" t="s">
        <v>42</v>
      </c>
    </row>
    <row r="6" customFormat="false" ht="15" hidden="false" customHeight="false" outlineLevel="0" collapsed="false">
      <c r="A6" s="2" t="n">
        <v>5</v>
      </c>
      <c r="B6" s="3" t="s">
        <v>43</v>
      </c>
      <c r="C6" s="2" t="s">
        <v>44</v>
      </c>
      <c r="D6" s="2" t="s">
        <v>24</v>
      </c>
      <c r="E6" s="3" t="s">
        <v>45</v>
      </c>
      <c r="F6" s="2" t="s">
        <v>46</v>
      </c>
      <c r="G6" s="2" t="s">
        <v>18</v>
      </c>
      <c r="H6" s="2" t="s">
        <v>18</v>
      </c>
      <c r="I6" s="4" t="s">
        <v>47</v>
      </c>
      <c r="J6" s="4" t="s">
        <v>48</v>
      </c>
      <c r="K6" s="2" t="s">
        <v>18</v>
      </c>
      <c r="L6" s="2" t="s">
        <v>21</v>
      </c>
      <c r="M6" s="3" t="s">
        <v>49</v>
      </c>
    </row>
    <row r="7" customFormat="false" ht="15" hidden="false" customHeight="false" outlineLevel="0" collapsed="false">
      <c r="A7" s="2" t="n">
        <v>6</v>
      </c>
      <c r="B7" s="3" t="s">
        <v>50</v>
      </c>
      <c r="C7" s="2" t="s">
        <v>14</v>
      </c>
      <c r="D7" s="2" t="s">
        <v>15</v>
      </c>
      <c r="E7" s="3" t="s">
        <v>51</v>
      </c>
      <c r="F7" s="2" t="s">
        <v>52</v>
      </c>
      <c r="G7" s="2" t="s">
        <v>18</v>
      </c>
      <c r="H7" s="2" t="s">
        <v>18</v>
      </c>
      <c r="I7" s="4" t="s">
        <v>53</v>
      </c>
      <c r="J7" s="4" t="s">
        <v>54</v>
      </c>
      <c r="K7" s="2" t="s">
        <v>18</v>
      </c>
      <c r="L7" s="2" t="s">
        <v>21</v>
      </c>
      <c r="M7" s="3" t="s">
        <v>55</v>
      </c>
    </row>
    <row r="8" customFormat="false" ht="15" hidden="false" customHeight="false" outlineLevel="0" collapsed="false">
      <c r="A8" s="2" t="n">
        <v>7</v>
      </c>
      <c r="B8" s="3" t="s">
        <v>56</v>
      </c>
      <c r="C8" s="2" t="s">
        <v>57</v>
      </c>
      <c r="D8" s="2" t="s">
        <v>24</v>
      </c>
      <c r="E8" s="3" t="s">
        <v>58</v>
      </c>
      <c r="F8" s="2" t="s">
        <v>59</v>
      </c>
      <c r="G8" s="2" t="s">
        <v>18</v>
      </c>
      <c r="H8" s="2" t="s">
        <v>18</v>
      </c>
      <c r="I8" s="2" t="s">
        <v>18</v>
      </c>
      <c r="J8" s="4" t="s">
        <v>60</v>
      </c>
      <c r="K8" s="2" t="s">
        <v>18</v>
      </c>
      <c r="L8" s="2" t="s">
        <v>21</v>
      </c>
      <c r="M8" s="3" t="s">
        <v>61</v>
      </c>
    </row>
    <row r="9" customFormat="false" ht="15" hidden="false" customHeight="false" outlineLevel="0" collapsed="false">
      <c r="A9" s="2" t="n">
        <v>8</v>
      </c>
      <c r="B9" s="3" t="s">
        <v>62</v>
      </c>
      <c r="C9" s="2" t="s">
        <v>63</v>
      </c>
      <c r="D9" s="2" t="s">
        <v>24</v>
      </c>
      <c r="E9" s="3" t="s">
        <v>64</v>
      </c>
      <c r="F9" s="2" t="s">
        <v>65</v>
      </c>
      <c r="G9" s="2" t="s">
        <v>18</v>
      </c>
      <c r="H9" s="2" t="s">
        <v>18</v>
      </c>
      <c r="I9" s="4" t="s">
        <v>66</v>
      </c>
      <c r="J9" s="4" t="s">
        <v>67</v>
      </c>
      <c r="K9" s="2" t="s">
        <v>18</v>
      </c>
      <c r="L9" s="2" t="s">
        <v>21</v>
      </c>
      <c r="M9" s="3" t="s">
        <v>68</v>
      </c>
    </row>
    <row r="10" customFormat="false" ht="15" hidden="false" customHeight="false" outlineLevel="0" collapsed="false">
      <c r="A10" s="2" t="n">
        <v>9</v>
      </c>
      <c r="B10" s="3" t="s">
        <v>69</v>
      </c>
      <c r="C10" s="2" t="s">
        <v>63</v>
      </c>
      <c r="D10" s="2" t="s">
        <v>38</v>
      </c>
      <c r="E10" s="3" t="s">
        <v>70</v>
      </c>
      <c r="F10" s="2" t="s">
        <v>71</v>
      </c>
      <c r="G10" s="2" t="s">
        <v>18</v>
      </c>
      <c r="H10" s="2" t="s">
        <v>18</v>
      </c>
      <c r="I10" s="4" t="s">
        <v>66</v>
      </c>
      <c r="J10" s="4" t="s">
        <v>72</v>
      </c>
      <c r="K10" s="2" t="s">
        <v>18</v>
      </c>
      <c r="L10" s="2" t="s">
        <v>21</v>
      </c>
      <c r="M10" s="3" t="s">
        <v>73</v>
      </c>
    </row>
    <row r="11" customFormat="false" ht="15" hidden="false" customHeight="false" outlineLevel="0" collapsed="false">
      <c r="A11" s="2" t="n">
        <v>10</v>
      </c>
      <c r="B11" s="3" t="s">
        <v>74</v>
      </c>
      <c r="C11" s="2" t="s">
        <v>75</v>
      </c>
      <c r="D11" s="2" t="s">
        <v>24</v>
      </c>
      <c r="E11" s="3" t="s">
        <v>76</v>
      </c>
      <c r="F11" s="2" t="s">
        <v>77</v>
      </c>
      <c r="G11" s="4" t="s">
        <v>78</v>
      </c>
      <c r="H11" s="2" t="s">
        <v>18</v>
      </c>
      <c r="I11" s="2" t="s">
        <v>18</v>
      </c>
      <c r="J11" s="4" t="s">
        <v>79</v>
      </c>
      <c r="K11" s="2" t="s">
        <v>18</v>
      </c>
      <c r="L11" s="2" t="s">
        <v>21</v>
      </c>
      <c r="M11" s="3" t="s">
        <v>80</v>
      </c>
    </row>
    <row r="12" customFormat="false" ht="15" hidden="false" customHeight="false" outlineLevel="0" collapsed="false">
      <c r="A12" s="2" t="n">
        <v>11</v>
      </c>
      <c r="B12" s="3" t="s">
        <v>81</v>
      </c>
      <c r="C12" s="2" t="s">
        <v>82</v>
      </c>
      <c r="D12" s="2" t="s">
        <v>24</v>
      </c>
      <c r="E12" s="3" t="s">
        <v>83</v>
      </c>
      <c r="F12" s="2" t="s">
        <v>84</v>
      </c>
      <c r="G12" s="2" t="s">
        <v>18</v>
      </c>
      <c r="H12" s="2" t="s">
        <v>18</v>
      </c>
      <c r="I12" s="2" t="s">
        <v>18</v>
      </c>
      <c r="J12" s="4" t="s">
        <v>85</v>
      </c>
      <c r="K12" s="2" t="s">
        <v>18</v>
      </c>
      <c r="L12" s="2" t="s">
        <v>21</v>
      </c>
      <c r="M12" s="3" t="s">
        <v>86</v>
      </c>
    </row>
    <row r="13" customFormat="false" ht="15" hidden="false" customHeight="false" outlineLevel="0" collapsed="false">
      <c r="A13" s="2" t="n">
        <v>12</v>
      </c>
      <c r="B13" s="3" t="s">
        <v>87</v>
      </c>
      <c r="C13" s="2" t="s">
        <v>88</v>
      </c>
      <c r="D13" s="2" t="s">
        <v>24</v>
      </c>
      <c r="E13" s="3" t="s">
        <v>89</v>
      </c>
      <c r="F13" s="2" t="s">
        <v>90</v>
      </c>
      <c r="G13" s="2" t="s">
        <v>18</v>
      </c>
      <c r="H13" s="2" t="s">
        <v>18</v>
      </c>
      <c r="I13" s="4" t="s">
        <v>66</v>
      </c>
      <c r="J13" s="4" t="s">
        <v>91</v>
      </c>
      <c r="K13" s="2" t="s">
        <v>18</v>
      </c>
      <c r="L13" s="2" t="s">
        <v>21</v>
      </c>
      <c r="M13" s="3" t="s">
        <v>92</v>
      </c>
    </row>
    <row r="14" customFormat="false" ht="15" hidden="false" customHeight="false" outlineLevel="0" collapsed="false">
      <c r="A14" s="2" t="n">
        <v>13</v>
      </c>
      <c r="B14" s="3" t="s">
        <v>93</v>
      </c>
      <c r="C14" s="2" t="s">
        <v>63</v>
      </c>
      <c r="D14" s="2" t="s">
        <v>24</v>
      </c>
      <c r="E14" s="3" t="s">
        <v>94</v>
      </c>
      <c r="F14" s="2" t="s">
        <v>95</v>
      </c>
      <c r="G14" s="2" t="s">
        <v>18</v>
      </c>
      <c r="H14" s="2" t="s">
        <v>18</v>
      </c>
      <c r="I14" s="4" t="s">
        <v>96</v>
      </c>
      <c r="J14" s="4" t="s">
        <v>97</v>
      </c>
      <c r="K14" s="2" t="s">
        <v>18</v>
      </c>
      <c r="L14" s="2" t="s">
        <v>21</v>
      </c>
      <c r="M14" s="3" t="s">
        <v>98</v>
      </c>
    </row>
    <row r="15" customFormat="false" ht="15" hidden="false" customHeight="false" outlineLevel="0" collapsed="false">
      <c r="A15" s="2" t="n">
        <v>14</v>
      </c>
      <c r="B15" s="3" t="s">
        <v>99</v>
      </c>
      <c r="C15" s="2" t="s">
        <v>63</v>
      </c>
      <c r="D15" s="2" t="s">
        <v>24</v>
      </c>
      <c r="E15" s="3" t="s">
        <v>100</v>
      </c>
      <c r="F15" s="2" t="s">
        <v>95</v>
      </c>
      <c r="G15" s="2" t="s">
        <v>18</v>
      </c>
      <c r="H15" s="2" t="s">
        <v>18</v>
      </c>
      <c r="I15" s="4" t="s">
        <v>96</v>
      </c>
      <c r="J15" s="4" t="s">
        <v>101</v>
      </c>
      <c r="K15" s="2" t="s">
        <v>18</v>
      </c>
      <c r="L15" s="2" t="s">
        <v>21</v>
      </c>
      <c r="M15" s="3" t="s">
        <v>102</v>
      </c>
    </row>
    <row r="16" customFormat="false" ht="15" hidden="false" customHeight="false" outlineLevel="0" collapsed="false">
      <c r="A16" s="2" t="n">
        <v>15</v>
      </c>
      <c r="B16" s="3" t="s">
        <v>103</v>
      </c>
      <c r="C16" s="2" t="s">
        <v>14</v>
      </c>
      <c r="D16" s="2" t="s">
        <v>24</v>
      </c>
      <c r="E16" s="3" t="s">
        <v>104</v>
      </c>
      <c r="F16" s="2" t="s">
        <v>105</v>
      </c>
      <c r="G16" s="2" t="s">
        <v>18</v>
      </c>
      <c r="H16" s="2" t="s">
        <v>18</v>
      </c>
      <c r="I16" s="4" t="s">
        <v>106</v>
      </c>
      <c r="J16" s="4" t="s">
        <v>107</v>
      </c>
      <c r="K16" s="2" t="s">
        <v>18</v>
      </c>
      <c r="L16" s="2" t="s">
        <v>21</v>
      </c>
      <c r="M16" s="3" t="s">
        <v>108</v>
      </c>
    </row>
    <row r="17" customFormat="false" ht="15" hidden="false" customHeight="false" outlineLevel="0" collapsed="false">
      <c r="A17" s="2" t="n">
        <v>16</v>
      </c>
      <c r="B17" s="3" t="s">
        <v>109</v>
      </c>
      <c r="C17" s="2" t="s">
        <v>44</v>
      </c>
      <c r="D17" s="2" t="s">
        <v>110</v>
      </c>
      <c r="E17" s="3" t="s">
        <v>111</v>
      </c>
      <c r="F17" s="2" t="s">
        <v>112</v>
      </c>
      <c r="G17" s="2" t="s">
        <v>18</v>
      </c>
      <c r="H17" s="2" t="s">
        <v>18</v>
      </c>
      <c r="I17" s="2" t="s">
        <v>18</v>
      </c>
      <c r="J17" s="4" t="s">
        <v>113</v>
      </c>
      <c r="K17" s="2" t="s">
        <v>18</v>
      </c>
      <c r="L17" s="2" t="s">
        <v>21</v>
      </c>
      <c r="M17" s="3" t="s">
        <v>114</v>
      </c>
    </row>
    <row r="18" customFormat="false" ht="15" hidden="false" customHeight="false" outlineLevel="0" collapsed="false">
      <c r="A18" s="2" t="n">
        <v>17</v>
      </c>
      <c r="B18" s="3" t="s">
        <v>115</v>
      </c>
      <c r="C18" s="2" t="s">
        <v>116</v>
      </c>
      <c r="D18" s="2" t="s">
        <v>24</v>
      </c>
      <c r="E18" s="3" t="s">
        <v>117</v>
      </c>
      <c r="F18" s="2" t="s">
        <v>118</v>
      </c>
      <c r="G18" s="2" t="s">
        <v>18</v>
      </c>
      <c r="H18" s="2" t="s">
        <v>18</v>
      </c>
      <c r="I18" s="4" t="s">
        <v>119</v>
      </c>
      <c r="J18" s="4" t="s">
        <v>120</v>
      </c>
      <c r="K18" s="2" t="s">
        <v>18</v>
      </c>
      <c r="L18" s="2" t="s">
        <v>21</v>
      </c>
      <c r="M18" s="3" t="s">
        <v>121</v>
      </c>
    </row>
    <row r="19" customFormat="false" ht="15" hidden="false" customHeight="false" outlineLevel="0" collapsed="false">
      <c r="A19" s="2" t="n">
        <v>18</v>
      </c>
      <c r="B19" s="3" t="s">
        <v>122</v>
      </c>
      <c r="C19" s="2" t="s">
        <v>123</v>
      </c>
      <c r="D19" s="2" t="s">
        <v>15</v>
      </c>
      <c r="E19" s="3" t="s">
        <v>124</v>
      </c>
      <c r="F19" s="2" t="s">
        <v>125</v>
      </c>
      <c r="G19" s="2" t="s">
        <v>18</v>
      </c>
      <c r="H19" s="2" t="s">
        <v>18</v>
      </c>
      <c r="I19" s="2" t="s">
        <v>18</v>
      </c>
      <c r="J19" s="4" t="s">
        <v>126</v>
      </c>
      <c r="K19" s="2" t="s">
        <v>18</v>
      </c>
      <c r="L19" s="2" t="s">
        <v>21</v>
      </c>
      <c r="M19" s="3" t="s">
        <v>127</v>
      </c>
    </row>
    <row r="20" customFormat="false" ht="15" hidden="false" customHeight="false" outlineLevel="0" collapsed="false">
      <c r="A20" s="2" t="n">
        <v>19</v>
      </c>
      <c r="B20" s="3" t="s">
        <v>128</v>
      </c>
      <c r="C20" s="2" t="s">
        <v>116</v>
      </c>
      <c r="D20" s="2" t="s">
        <v>38</v>
      </c>
      <c r="E20" s="3" t="s">
        <v>129</v>
      </c>
      <c r="F20" s="2" t="s">
        <v>130</v>
      </c>
      <c r="G20" s="2" t="s">
        <v>18</v>
      </c>
      <c r="H20" s="2" t="s">
        <v>18</v>
      </c>
      <c r="I20" s="4" t="s">
        <v>131</v>
      </c>
      <c r="J20" s="4" t="s">
        <v>132</v>
      </c>
      <c r="K20" s="2" t="s">
        <v>18</v>
      </c>
      <c r="L20" s="2" t="s">
        <v>21</v>
      </c>
      <c r="M20" s="3" t="s">
        <v>133</v>
      </c>
    </row>
    <row r="21" customFormat="false" ht="15" hidden="false" customHeight="false" outlineLevel="0" collapsed="false">
      <c r="A21" s="2" t="n">
        <v>20</v>
      </c>
      <c r="B21" s="3" t="s">
        <v>134</v>
      </c>
      <c r="C21" s="2" t="s">
        <v>57</v>
      </c>
      <c r="D21" s="2" t="s">
        <v>24</v>
      </c>
      <c r="E21" s="3" t="s">
        <v>135</v>
      </c>
      <c r="F21" s="2" t="s">
        <v>136</v>
      </c>
      <c r="G21" s="2" t="s">
        <v>18</v>
      </c>
      <c r="H21" s="2" t="s">
        <v>18</v>
      </c>
      <c r="I21" s="4" t="s">
        <v>137</v>
      </c>
      <c r="J21" s="4" t="s">
        <v>138</v>
      </c>
      <c r="K21" s="2" t="s">
        <v>18</v>
      </c>
      <c r="L21" s="2" t="s">
        <v>21</v>
      </c>
      <c r="M21" s="3" t="s">
        <v>139</v>
      </c>
    </row>
    <row r="22" customFormat="false" ht="15" hidden="false" customHeight="false" outlineLevel="0" collapsed="false">
      <c r="A22" s="2" t="n">
        <v>21</v>
      </c>
      <c r="B22" s="3" t="s">
        <v>140</v>
      </c>
      <c r="C22" s="2" t="s">
        <v>141</v>
      </c>
      <c r="D22" s="2" t="s">
        <v>142</v>
      </c>
      <c r="E22" s="3" t="s">
        <v>143</v>
      </c>
      <c r="F22" s="2" t="s">
        <v>144</v>
      </c>
      <c r="G22" s="2" t="s">
        <v>18</v>
      </c>
      <c r="H22" s="2" t="s">
        <v>18</v>
      </c>
      <c r="I22" s="4" t="s">
        <v>145</v>
      </c>
      <c r="J22" s="4" t="s">
        <v>146</v>
      </c>
      <c r="K22" s="2" t="s">
        <v>18</v>
      </c>
      <c r="L22" s="2" t="s">
        <v>21</v>
      </c>
      <c r="M22" s="3" t="s">
        <v>147</v>
      </c>
    </row>
    <row r="23" customFormat="false" ht="15" hidden="false" customHeight="false" outlineLevel="0" collapsed="false">
      <c r="A23" s="2" t="n">
        <v>22</v>
      </c>
      <c r="B23" s="3" t="s">
        <v>148</v>
      </c>
      <c r="C23" s="2" t="s">
        <v>75</v>
      </c>
      <c r="D23" s="2" t="s">
        <v>15</v>
      </c>
      <c r="E23" s="3" t="s">
        <v>149</v>
      </c>
      <c r="F23" s="2" t="s">
        <v>150</v>
      </c>
      <c r="G23" s="2" t="s">
        <v>18</v>
      </c>
      <c r="H23" s="2" t="s">
        <v>18</v>
      </c>
      <c r="I23" s="4" t="s">
        <v>151</v>
      </c>
      <c r="J23" s="4" t="s">
        <v>152</v>
      </c>
      <c r="K23" s="2" t="s">
        <v>18</v>
      </c>
      <c r="L23" s="2" t="s">
        <v>21</v>
      </c>
      <c r="M23" s="3" t="s">
        <v>153</v>
      </c>
    </row>
    <row r="24" customFormat="false" ht="15" hidden="false" customHeight="false" outlineLevel="0" collapsed="false">
      <c r="A24" s="2" t="n">
        <v>23</v>
      </c>
      <c r="B24" s="3" t="s">
        <v>154</v>
      </c>
      <c r="C24" s="2" t="s">
        <v>116</v>
      </c>
      <c r="D24" s="2" t="s">
        <v>24</v>
      </c>
      <c r="E24" s="3" t="s">
        <v>155</v>
      </c>
      <c r="F24" s="2" t="s">
        <v>156</v>
      </c>
      <c r="G24" s="2" t="s">
        <v>18</v>
      </c>
      <c r="H24" s="2" t="s">
        <v>18</v>
      </c>
      <c r="I24" s="2" t="s">
        <v>18</v>
      </c>
      <c r="J24" s="4" t="s">
        <v>157</v>
      </c>
      <c r="K24" s="2" t="s">
        <v>18</v>
      </c>
      <c r="L24" s="2" t="s">
        <v>21</v>
      </c>
      <c r="M24" s="3" t="s">
        <v>158</v>
      </c>
    </row>
    <row r="25" customFormat="false" ht="15" hidden="false" customHeight="false" outlineLevel="0" collapsed="false">
      <c r="A25" s="2" t="n">
        <v>24</v>
      </c>
      <c r="B25" s="3" t="s">
        <v>159</v>
      </c>
      <c r="C25" s="2" t="s">
        <v>63</v>
      </c>
      <c r="D25" s="2" t="s">
        <v>24</v>
      </c>
      <c r="E25" s="3" t="s">
        <v>89</v>
      </c>
      <c r="F25" s="2" t="s">
        <v>160</v>
      </c>
      <c r="G25" s="2" t="s">
        <v>18</v>
      </c>
      <c r="H25" s="2" t="s">
        <v>18</v>
      </c>
      <c r="I25" s="4" t="s">
        <v>66</v>
      </c>
      <c r="J25" s="4" t="s">
        <v>91</v>
      </c>
      <c r="K25" s="2" t="s">
        <v>18</v>
      </c>
      <c r="L25" s="2" t="s">
        <v>21</v>
      </c>
      <c r="M25" s="3" t="s">
        <v>73</v>
      </c>
    </row>
    <row r="26" customFormat="false" ht="15" hidden="false" customHeight="false" outlineLevel="0" collapsed="false">
      <c r="A26" s="2" t="n">
        <v>25</v>
      </c>
      <c r="B26" s="3" t="s">
        <v>161</v>
      </c>
      <c r="C26" s="2" t="s">
        <v>44</v>
      </c>
      <c r="D26" s="2" t="s">
        <v>110</v>
      </c>
      <c r="E26" s="3" t="s">
        <v>162</v>
      </c>
      <c r="F26" s="2" t="s">
        <v>163</v>
      </c>
      <c r="G26" s="2" t="s">
        <v>18</v>
      </c>
      <c r="H26" s="2" t="s">
        <v>18</v>
      </c>
      <c r="I26" s="2" t="s">
        <v>18</v>
      </c>
      <c r="J26" s="4" t="s">
        <v>164</v>
      </c>
      <c r="K26" s="2" t="s">
        <v>18</v>
      </c>
      <c r="L26" s="2" t="s">
        <v>21</v>
      </c>
      <c r="M26" s="3" t="s">
        <v>165</v>
      </c>
    </row>
    <row r="27" customFormat="false" ht="15" hidden="false" customHeight="false" outlineLevel="0" collapsed="false">
      <c r="A27" s="2" t="n">
        <v>26</v>
      </c>
      <c r="B27" s="3" t="s">
        <v>166</v>
      </c>
      <c r="C27" s="2" t="s">
        <v>14</v>
      </c>
      <c r="D27" s="2" t="s">
        <v>38</v>
      </c>
      <c r="E27" s="3" t="s">
        <v>167</v>
      </c>
      <c r="F27" s="2" t="s">
        <v>168</v>
      </c>
      <c r="G27" s="2" t="s">
        <v>18</v>
      </c>
      <c r="H27" s="2" t="s">
        <v>18</v>
      </c>
      <c r="I27" s="2" t="s">
        <v>18</v>
      </c>
      <c r="J27" s="4" t="s">
        <v>169</v>
      </c>
      <c r="K27" s="2" t="s">
        <v>18</v>
      </c>
      <c r="L27" s="2" t="s">
        <v>21</v>
      </c>
      <c r="M27" s="3" t="s">
        <v>170</v>
      </c>
    </row>
    <row r="28" customFormat="false" ht="15" hidden="false" customHeight="false" outlineLevel="0" collapsed="false">
      <c r="A28" s="2" t="n">
        <v>27</v>
      </c>
      <c r="B28" s="3" t="s">
        <v>171</v>
      </c>
      <c r="C28" s="2" t="s">
        <v>37</v>
      </c>
      <c r="D28" s="2" t="s">
        <v>24</v>
      </c>
      <c r="E28" s="3" t="s">
        <v>172</v>
      </c>
      <c r="F28" s="2" t="s">
        <v>173</v>
      </c>
      <c r="G28" s="2" t="s">
        <v>18</v>
      </c>
      <c r="H28" s="2" t="s">
        <v>18</v>
      </c>
      <c r="I28" s="4" t="s">
        <v>174</v>
      </c>
      <c r="J28" s="4" t="s">
        <v>175</v>
      </c>
      <c r="K28" s="2" t="s">
        <v>18</v>
      </c>
      <c r="L28" s="2" t="s">
        <v>21</v>
      </c>
      <c r="M28" s="3" t="s">
        <v>176</v>
      </c>
    </row>
    <row r="29" customFormat="false" ht="23.85" hidden="false" customHeight="false" outlineLevel="0" collapsed="false">
      <c r="A29" s="2" t="n">
        <v>28</v>
      </c>
      <c r="B29" s="3" t="s">
        <v>177</v>
      </c>
      <c r="C29" s="2" t="s">
        <v>14</v>
      </c>
      <c r="D29" s="2" t="s">
        <v>24</v>
      </c>
      <c r="E29" s="3" t="s">
        <v>178</v>
      </c>
      <c r="F29" s="2" t="s">
        <v>179</v>
      </c>
      <c r="G29" s="2" t="s">
        <v>18</v>
      </c>
      <c r="H29" s="2" t="s">
        <v>18</v>
      </c>
      <c r="I29" s="4" t="s">
        <v>180</v>
      </c>
      <c r="J29" s="4" t="s">
        <v>181</v>
      </c>
      <c r="K29" s="2" t="s">
        <v>18</v>
      </c>
      <c r="L29" s="2" t="s">
        <v>21</v>
      </c>
      <c r="M29" s="3" t="s">
        <v>182</v>
      </c>
    </row>
    <row r="30" customFormat="false" ht="23.85" hidden="false" customHeight="false" outlineLevel="0" collapsed="false">
      <c r="A30" s="2" t="n">
        <v>29</v>
      </c>
      <c r="B30" s="3" t="s">
        <v>183</v>
      </c>
      <c r="C30" s="2" t="s">
        <v>184</v>
      </c>
      <c r="D30" s="2" t="s">
        <v>24</v>
      </c>
      <c r="E30" s="3" t="s">
        <v>185</v>
      </c>
      <c r="F30" s="2" t="s">
        <v>186</v>
      </c>
      <c r="G30" s="2" t="s">
        <v>18</v>
      </c>
      <c r="H30" s="2" t="s">
        <v>18</v>
      </c>
      <c r="I30" s="4" t="s">
        <v>187</v>
      </c>
      <c r="J30" s="4" t="s">
        <v>188</v>
      </c>
      <c r="K30" s="2" t="s">
        <v>18</v>
      </c>
      <c r="L30" s="2" t="s">
        <v>21</v>
      </c>
      <c r="M30" s="3" t="s">
        <v>189</v>
      </c>
    </row>
    <row r="31" customFormat="false" ht="23.85" hidden="false" customHeight="false" outlineLevel="0" collapsed="false">
      <c r="A31" s="2" t="n">
        <v>30</v>
      </c>
      <c r="B31" s="3" t="s">
        <v>190</v>
      </c>
      <c r="C31" s="2" t="s">
        <v>44</v>
      </c>
      <c r="D31" s="2" t="s">
        <v>110</v>
      </c>
      <c r="E31" s="3" t="s">
        <v>191</v>
      </c>
      <c r="F31" s="2" t="s">
        <v>192</v>
      </c>
      <c r="G31" s="2" t="s">
        <v>18</v>
      </c>
      <c r="H31" s="2" t="s">
        <v>18</v>
      </c>
      <c r="I31" s="2" t="s">
        <v>18</v>
      </c>
      <c r="J31" s="4" t="s">
        <v>193</v>
      </c>
      <c r="K31" s="2" t="s">
        <v>18</v>
      </c>
      <c r="L31" s="2" t="s">
        <v>21</v>
      </c>
      <c r="M31" s="3" t="s">
        <v>194</v>
      </c>
    </row>
    <row r="32" customFormat="false" ht="15" hidden="false" customHeight="false" outlineLevel="0" collapsed="false">
      <c r="A32" s="2" t="n">
        <v>31</v>
      </c>
      <c r="B32" s="3" t="s">
        <v>195</v>
      </c>
      <c r="C32" s="2" t="s">
        <v>31</v>
      </c>
      <c r="D32" s="2" t="s">
        <v>24</v>
      </c>
      <c r="E32" s="3" t="s">
        <v>196</v>
      </c>
      <c r="F32" s="2" t="s">
        <v>197</v>
      </c>
      <c r="G32" s="2" t="s">
        <v>18</v>
      </c>
      <c r="H32" s="2" t="s">
        <v>18</v>
      </c>
      <c r="I32" s="2" t="s">
        <v>18</v>
      </c>
      <c r="J32" s="4" t="s">
        <v>198</v>
      </c>
      <c r="K32" s="2" t="s">
        <v>18</v>
      </c>
      <c r="L32" s="2" t="s">
        <v>21</v>
      </c>
      <c r="M32" s="3" t="s">
        <v>199</v>
      </c>
    </row>
    <row r="33" customFormat="false" ht="23.85" hidden="false" customHeight="false" outlineLevel="0" collapsed="false">
      <c r="A33" s="2" t="n">
        <v>32</v>
      </c>
      <c r="B33" s="3" t="s">
        <v>200</v>
      </c>
      <c r="C33" s="2" t="s">
        <v>201</v>
      </c>
      <c r="D33" s="2" t="s">
        <v>38</v>
      </c>
      <c r="E33" s="3" t="s">
        <v>202</v>
      </c>
      <c r="F33" s="2" t="s">
        <v>203</v>
      </c>
      <c r="G33" s="2" t="s">
        <v>18</v>
      </c>
      <c r="H33" s="2" t="s">
        <v>18</v>
      </c>
      <c r="I33" s="4" t="s">
        <v>204</v>
      </c>
      <c r="J33" s="4" t="s">
        <v>205</v>
      </c>
      <c r="K33" s="2" t="s">
        <v>18</v>
      </c>
      <c r="L33" s="2" t="s">
        <v>21</v>
      </c>
      <c r="M33" s="3" t="s">
        <v>206</v>
      </c>
    </row>
    <row r="34" customFormat="false" ht="23.85" hidden="false" customHeight="false" outlineLevel="0" collapsed="false">
      <c r="A34" s="2" t="n">
        <v>33</v>
      </c>
      <c r="B34" s="3" t="s">
        <v>207</v>
      </c>
      <c r="C34" s="2" t="s">
        <v>37</v>
      </c>
      <c r="D34" s="2" t="s">
        <v>110</v>
      </c>
      <c r="E34" s="3" t="s">
        <v>191</v>
      </c>
      <c r="F34" s="2" t="s">
        <v>208</v>
      </c>
      <c r="G34" s="2" t="s">
        <v>18</v>
      </c>
      <c r="H34" s="2" t="s">
        <v>18</v>
      </c>
      <c r="I34" s="2" t="s">
        <v>18</v>
      </c>
      <c r="J34" s="4" t="s">
        <v>193</v>
      </c>
      <c r="K34" s="2" t="s">
        <v>18</v>
      </c>
      <c r="L34" s="2" t="s">
        <v>21</v>
      </c>
      <c r="M34" s="3" t="s">
        <v>209</v>
      </c>
    </row>
    <row r="35" customFormat="false" ht="15" hidden="false" customHeight="false" outlineLevel="0" collapsed="false">
      <c r="A35" s="2" t="n">
        <v>34</v>
      </c>
      <c r="B35" s="3" t="s">
        <v>210</v>
      </c>
      <c r="C35" s="2" t="s">
        <v>14</v>
      </c>
      <c r="D35" s="2" t="s">
        <v>24</v>
      </c>
      <c r="E35" s="3" t="s">
        <v>211</v>
      </c>
      <c r="F35" s="2" t="s">
        <v>212</v>
      </c>
      <c r="G35" s="2" t="s">
        <v>18</v>
      </c>
      <c r="H35" s="2" t="s">
        <v>18</v>
      </c>
      <c r="I35" s="2" t="s">
        <v>18</v>
      </c>
      <c r="J35" s="4" t="s">
        <v>213</v>
      </c>
      <c r="K35" s="2" t="s">
        <v>18</v>
      </c>
      <c r="L35" s="2" t="s">
        <v>21</v>
      </c>
      <c r="M35" s="3" t="s">
        <v>214</v>
      </c>
    </row>
    <row r="36" customFormat="false" ht="15" hidden="false" customHeight="false" outlineLevel="0" collapsed="false">
      <c r="A36" s="2" t="n">
        <v>35</v>
      </c>
      <c r="B36" s="3" t="s">
        <v>215</v>
      </c>
      <c r="C36" s="2" t="s">
        <v>14</v>
      </c>
      <c r="D36" s="2" t="s">
        <v>110</v>
      </c>
      <c r="E36" s="3" t="s">
        <v>216</v>
      </c>
      <c r="F36" s="2" t="s">
        <v>217</v>
      </c>
      <c r="G36" s="2" t="s">
        <v>18</v>
      </c>
      <c r="H36" s="2" t="s">
        <v>18</v>
      </c>
      <c r="I36" s="2" t="s">
        <v>18</v>
      </c>
      <c r="J36" s="4" t="s">
        <v>218</v>
      </c>
      <c r="K36" s="2" t="s">
        <v>18</v>
      </c>
      <c r="L36" s="2" t="s">
        <v>21</v>
      </c>
      <c r="M36" s="3" t="s">
        <v>219</v>
      </c>
    </row>
    <row r="37" customFormat="false" ht="15" hidden="false" customHeight="false" outlineLevel="0" collapsed="false">
      <c r="A37" s="2" t="n">
        <v>36</v>
      </c>
      <c r="B37" s="3" t="s">
        <v>220</v>
      </c>
      <c r="C37" s="2" t="s">
        <v>141</v>
      </c>
      <c r="D37" s="2" t="s">
        <v>24</v>
      </c>
      <c r="E37" s="3" t="s">
        <v>221</v>
      </c>
      <c r="F37" s="2" t="s">
        <v>222</v>
      </c>
      <c r="G37" s="2" t="s">
        <v>18</v>
      </c>
      <c r="H37" s="2" t="s">
        <v>18</v>
      </c>
      <c r="I37" s="2" t="s">
        <v>18</v>
      </c>
      <c r="J37" s="4" t="s">
        <v>223</v>
      </c>
      <c r="K37" s="2" t="s">
        <v>18</v>
      </c>
      <c r="L37" s="2" t="s">
        <v>21</v>
      </c>
      <c r="M37" s="3" t="s">
        <v>224</v>
      </c>
    </row>
    <row r="38" customFormat="false" ht="15" hidden="false" customHeight="false" outlineLevel="0" collapsed="false">
      <c r="A38" s="2" t="n">
        <v>37</v>
      </c>
      <c r="B38" s="3" t="s">
        <v>225</v>
      </c>
      <c r="C38" s="2" t="s">
        <v>141</v>
      </c>
      <c r="D38" s="2" t="s">
        <v>110</v>
      </c>
      <c r="E38" s="3" t="s">
        <v>226</v>
      </c>
      <c r="F38" s="2" t="s">
        <v>227</v>
      </c>
      <c r="G38" s="2" t="s">
        <v>18</v>
      </c>
      <c r="H38" s="2" t="s">
        <v>18</v>
      </c>
      <c r="I38" s="2" t="s">
        <v>18</v>
      </c>
      <c r="J38" s="4" t="s">
        <v>228</v>
      </c>
      <c r="K38" s="2" t="s">
        <v>18</v>
      </c>
      <c r="L38" s="2" t="s">
        <v>21</v>
      </c>
      <c r="M38" s="3" t="s">
        <v>229</v>
      </c>
    </row>
    <row r="39" customFormat="false" ht="15" hidden="false" customHeight="false" outlineLevel="0" collapsed="false">
      <c r="A39" s="2" t="n">
        <v>38</v>
      </c>
      <c r="B39" s="3" t="s">
        <v>230</v>
      </c>
      <c r="C39" s="2" t="s">
        <v>231</v>
      </c>
      <c r="D39" s="2" t="s">
        <v>24</v>
      </c>
      <c r="E39" s="3" t="s">
        <v>232</v>
      </c>
      <c r="F39" s="2" t="s">
        <v>233</v>
      </c>
      <c r="G39" s="2" t="s">
        <v>18</v>
      </c>
      <c r="H39" s="2" t="s">
        <v>18</v>
      </c>
      <c r="I39" s="4" t="s">
        <v>234</v>
      </c>
      <c r="J39" s="4" t="s">
        <v>235</v>
      </c>
      <c r="K39" s="2" t="s">
        <v>18</v>
      </c>
      <c r="L39" s="2" t="s">
        <v>21</v>
      </c>
      <c r="M39" s="3" t="s">
        <v>236</v>
      </c>
    </row>
    <row r="40" customFormat="false" ht="23.85" hidden="false" customHeight="false" outlineLevel="0" collapsed="false">
      <c r="A40" s="2" t="n">
        <v>39</v>
      </c>
      <c r="B40" s="3" t="s">
        <v>237</v>
      </c>
      <c r="C40" s="2" t="s">
        <v>88</v>
      </c>
      <c r="D40" s="2" t="s">
        <v>38</v>
      </c>
      <c r="E40" s="3" t="s">
        <v>238</v>
      </c>
      <c r="F40" s="2" t="s">
        <v>239</v>
      </c>
      <c r="G40" s="2" t="s">
        <v>18</v>
      </c>
      <c r="H40" s="2" t="s">
        <v>18</v>
      </c>
      <c r="I40" s="4" t="s">
        <v>240</v>
      </c>
      <c r="J40" s="4" t="s">
        <v>241</v>
      </c>
      <c r="K40" s="2" t="s">
        <v>18</v>
      </c>
      <c r="L40" s="2" t="s">
        <v>21</v>
      </c>
      <c r="M40" s="3" t="s">
        <v>242</v>
      </c>
    </row>
    <row r="41" customFormat="false" ht="15" hidden="false" customHeight="false" outlineLevel="0" collapsed="false">
      <c r="A41" s="2" t="n">
        <v>40</v>
      </c>
      <c r="B41" s="3" t="s">
        <v>243</v>
      </c>
      <c r="C41" s="2" t="s">
        <v>231</v>
      </c>
      <c r="D41" s="2" t="s">
        <v>24</v>
      </c>
      <c r="E41" s="3" t="s">
        <v>244</v>
      </c>
      <c r="F41" s="2" t="s">
        <v>245</v>
      </c>
      <c r="G41" s="4" t="s">
        <v>246</v>
      </c>
      <c r="H41" s="2" t="s">
        <v>18</v>
      </c>
      <c r="I41" s="2" t="s">
        <v>18</v>
      </c>
      <c r="J41" s="4" t="s">
        <v>247</v>
      </c>
      <c r="K41" s="2" t="s">
        <v>18</v>
      </c>
      <c r="L41" s="2" t="s">
        <v>21</v>
      </c>
      <c r="M41" s="3" t="s">
        <v>248</v>
      </c>
    </row>
    <row r="42" customFormat="false" ht="15" hidden="false" customHeight="false" outlineLevel="0" collapsed="false">
      <c r="A42" s="2" t="n">
        <v>41</v>
      </c>
      <c r="B42" s="3" t="s">
        <v>249</v>
      </c>
      <c r="C42" s="2" t="s">
        <v>231</v>
      </c>
      <c r="D42" s="2" t="s">
        <v>24</v>
      </c>
      <c r="E42" s="3" t="s">
        <v>250</v>
      </c>
      <c r="F42" s="2" t="s">
        <v>245</v>
      </c>
      <c r="G42" s="4" t="s">
        <v>246</v>
      </c>
      <c r="H42" s="2" t="s">
        <v>18</v>
      </c>
      <c r="I42" s="2" t="s">
        <v>18</v>
      </c>
      <c r="J42" s="4" t="s">
        <v>251</v>
      </c>
      <c r="K42" s="2" t="s">
        <v>18</v>
      </c>
      <c r="L42" s="2" t="s">
        <v>21</v>
      </c>
      <c r="M42" s="3" t="s">
        <v>252</v>
      </c>
    </row>
    <row r="43" customFormat="false" ht="15" hidden="false" customHeight="false" outlineLevel="0" collapsed="false">
      <c r="A43" s="2" t="n">
        <v>42</v>
      </c>
      <c r="B43" s="3" t="s">
        <v>253</v>
      </c>
      <c r="C43" s="2" t="s">
        <v>231</v>
      </c>
      <c r="D43" s="2" t="s">
        <v>110</v>
      </c>
      <c r="E43" s="3" t="s">
        <v>254</v>
      </c>
      <c r="F43" s="2" t="s">
        <v>18</v>
      </c>
      <c r="G43" s="2" t="s">
        <v>18</v>
      </c>
      <c r="H43" s="2" t="s">
        <v>18</v>
      </c>
      <c r="I43" s="2" t="s">
        <v>18</v>
      </c>
      <c r="J43" s="4" t="s">
        <v>255</v>
      </c>
      <c r="K43" s="2" t="s">
        <v>18</v>
      </c>
      <c r="L43" s="2" t="s">
        <v>21</v>
      </c>
      <c r="M43" s="3" t="s">
        <v>256</v>
      </c>
    </row>
    <row r="44" customFormat="false" ht="15" hidden="false" customHeight="false" outlineLevel="0" collapsed="false">
      <c r="A44" s="2" t="n">
        <v>43</v>
      </c>
      <c r="B44" s="3" t="s">
        <v>257</v>
      </c>
      <c r="C44" s="2" t="s">
        <v>88</v>
      </c>
      <c r="D44" s="2" t="s">
        <v>24</v>
      </c>
      <c r="E44" s="3" t="s">
        <v>258</v>
      </c>
      <c r="F44" s="2" t="s">
        <v>259</v>
      </c>
      <c r="G44" s="2" t="s">
        <v>18</v>
      </c>
      <c r="H44" s="2" t="s">
        <v>18</v>
      </c>
      <c r="I44" s="4" t="s">
        <v>260</v>
      </c>
      <c r="J44" s="4" t="s">
        <v>261</v>
      </c>
      <c r="K44" s="2" t="s">
        <v>18</v>
      </c>
      <c r="L44" s="2" t="s">
        <v>21</v>
      </c>
      <c r="M44" s="3" t="s">
        <v>262</v>
      </c>
    </row>
    <row r="45" customFormat="false" ht="15" hidden="false" customHeight="false" outlineLevel="0" collapsed="false">
      <c r="A45" s="2" t="n">
        <v>44</v>
      </c>
      <c r="B45" s="3" t="s">
        <v>263</v>
      </c>
      <c r="C45" s="2" t="s">
        <v>231</v>
      </c>
      <c r="D45" s="2" t="s">
        <v>24</v>
      </c>
      <c r="E45" s="3" t="s">
        <v>264</v>
      </c>
      <c r="F45" s="2" t="s">
        <v>265</v>
      </c>
      <c r="G45" s="2" t="s">
        <v>18</v>
      </c>
      <c r="H45" s="2" t="s">
        <v>18</v>
      </c>
      <c r="I45" s="4" t="s">
        <v>266</v>
      </c>
      <c r="J45" s="4" t="s">
        <v>267</v>
      </c>
      <c r="K45" s="2" t="s">
        <v>18</v>
      </c>
      <c r="L45" s="2" t="s">
        <v>21</v>
      </c>
      <c r="M45" s="3" t="s">
        <v>268</v>
      </c>
    </row>
    <row r="46" customFormat="false" ht="15" hidden="false" customHeight="false" outlineLevel="0" collapsed="false">
      <c r="A46" s="2" t="n">
        <v>45</v>
      </c>
      <c r="B46" s="3" t="s">
        <v>269</v>
      </c>
      <c r="C46" s="2" t="s">
        <v>14</v>
      </c>
      <c r="D46" s="2" t="s">
        <v>24</v>
      </c>
      <c r="E46" s="3" t="s">
        <v>270</v>
      </c>
      <c r="F46" s="2" t="s">
        <v>271</v>
      </c>
      <c r="G46" s="4" t="s">
        <v>272</v>
      </c>
      <c r="H46" s="2" t="s">
        <v>18</v>
      </c>
      <c r="I46" s="2" t="s">
        <v>18</v>
      </c>
      <c r="J46" s="4" t="s">
        <v>273</v>
      </c>
      <c r="K46" s="2" t="s">
        <v>18</v>
      </c>
      <c r="L46" s="2" t="s">
        <v>21</v>
      </c>
      <c r="M46" s="3" t="s">
        <v>274</v>
      </c>
    </row>
    <row r="47" customFormat="false" ht="23.85" hidden="false" customHeight="false" outlineLevel="0" collapsed="false">
      <c r="A47" s="2" t="n">
        <v>46</v>
      </c>
      <c r="B47" s="3" t="s">
        <v>275</v>
      </c>
      <c r="C47" s="2" t="s">
        <v>276</v>
      </c>
      <c r="D47" s="2" t="s">
        <v>110</v>
      </c>
      <c r="E47" s="3" t="s">
        <v>277</v>
      </c>
      <c r="F47" s="2" t="s">
        <v>18</v>
      </c>
      <c r="G47" s="2" t="s">
        <v>18</v>
      </c>
      <c r="H47" s="2" t="s">
        <v>18</v>
      </c>
      <c r="I47" s="2" t="s">
        <v>18</v>
      </c>
      <c r="J47" s="4" t="s">
        <v>278</v>
      </c>
      <c r="K47" s="2" t="s">
        <v>18</v>
      </c>
      <c r="L47" s="2" t="s">
        <v>21</v>
      </c>
      <c r="M47" s="3" t="s">
        <v>279</v>
      </c>
    </row>
    <row r="48" customFormat="false" ht="15" hidden="false" customHeight="false" outlineLevel="0" collapsed="false">
      <c r="A48" s="2" t="n">
        <v>47</v>
      </c>
      <c r="B48" s="3" t="s">
        <v>280</v>
      </c>
      <c r="C48" s="2" t="s">
        <v>184</v>
      </c>
      <c r="D48" s="2" t="s">
        <v>24</v>
      </c>
      <c r="E48" s="3" t="s">
        <v>281</v>
      </c>
      <c r="F48" s="2" t="s">
        <v>282</v>
      </c>
      <c r="G48" s="2" t="s">
        <v>18</v>
      </c>
      <c r="H48" s="2" t="s">
        <v>18</v>
      </c>
      <c r="I48" s="4" t="s">
        <v>283</v>
      </c>
      <c r="J48" s="4" t="s">
        <v>284</v>
      </c>
      <c r="K48" s="2" t="s">
        <v>18</v>
      </c>
      <c r="L48" s="2" t="s">
        <v>21</v>
      </c>
      <c r="M48" s="3" t="s">
        <v>285</v>
      </c>
    </row>
    <row r="49" customFormat="false" ht="15" hidden="false" customHeight="false" outlineLevel="0" collapsed="false">
      <c r="A49" s="2" t="n">
        <v>48</v>
      </c>
      <c r="B49" s="3" t="s">
        <v>286</v>
      </c>
      <c r="C49" s="2" t="s">
        <v>31</v>
      </c>
      <c r="D49" s="2" t="s">
        <v>38</v>
      </c>
      <c r="E49" s="3" t="s">
        <v>287</v>
      </c>
      <c r="F49" s="2" t="s">
        <v>288</v>
      </c>
      <c r="G49" s="2" t="s">
        <v>18</v>
      </c>
      <c r="H49" s="2" t="s">
        <v>18</v>
      </c>
      <c r="I49" s="4" t="s">
        <v>289</v>
      </c>
      <c r="J49" s="4" t="s">
        <v>290</v>
      </c>
      <c r="K49" s="2" t="s">
        <v>18</v>
      </c>
      <c r="L49" s="2" t="s">
        <v>21</v>
      </c>
      <c r="M49" s="3" t="s">
        <v>291</v>
      </c>
    </row>
    <row r="50" customFormat="false" ht="15" hidden="false" customHeight="false" outlineLevel="0" collapsed="false">
      <c r="A50" s="2" t="n">
        <v>49</v>
      </c>
      <c r="B50" s="3" t="s">
        <v>292</v>
      </c>
      <c r="C50" s="2" t="s">
        <v>184</v>
      </c>
      <c r="D50" s="2" t="s">
        <v>24</v>
      </c>
      <c r="E50" s="3" t="s">
        <v>293</v>
      </c>
      <c r="F50" s="2" t="s">
        <v>294</v>
      </c>
      <c r="G50" s="4" t="s">
        <v>295</v>
      </c>
      <c r="H50" s="2" t="s">
        <v>18</v>
      </c>
      <c r="I50" s="2" t="s">
        <v>18</v>
      </c>
      <c r="J50" s="4" t="s">
        <v>296</v>
      </c>
      <c r="K50" s="2" t="s">
        <v>18</v>
      </c>
      <c r="L50" s="2" t="s">
        <v>21</v>
      </c>
      <c r="M50" s="3" t="s">
        <v>297</v>
      </c>
    </row>
    <row r="51" customFormat="false" ht="23.85" hidden="false" customHeight="false" outlineLevel="0" collapsed="false">
      <c r="A51" s="2" t="n">
        <v>50</v>
      </c>
      <c r="B51" s="3" t="s">
        <v>298</v>
      </c>
      <c r="C51" s="2" t="s">
        <v>184</v>
      </c>
      <c r="D51" s="2" t="s">
        <v>15</v>
      </c>
      <c r="E51" s="3" t="s">
        <v>299</v>
      </c>
      <c r="F51" s="2" t="s">
        <v>300</v>
      </c>
      <c r="G51" s="4" t="s">
        <v>301</v>
      </c>
      <c r="H51" s="2" t="s">
        <v>18</v>
      </c>
      <c r="I51" s="2" t="s">
        <v>18</v>
      </c>
      <c r="J51" s="4" t="s">
        <v>302</v>
      </c>
      <c r="K51" s="2" t="s">
        <v>18</v>
      </c>
      <c r="L51" s="2" t="s">
        <v>21</v>
      </c>
      <c r="M51" s="3" t="s">
        <v>303</v>
      </c>
    </row>
    <row r="52" customFormat="false" ht="15" hidden="false" customHeight="false" outlineLevel="0" collapsed="false">
      <c r="A52" s="2" t="n">
        <v>51</v>
      </c>
      <c r="B52" s="3" t="s">
        <v>304</v>
      </c>
      <c r="C52" s="2" t="s">
        <v>184</v>
      </c>
      <c r="D52" s="2" t="s">
        <v>24</v>
      </c>
      <c r="E52" s="3" t="s">
        <v>305</v>
      </c>
      <c r="F52" s="2" t="s">
        <v>306</v>
      </c>
      <c r="G52" s="2" t="s">
        <v>18</v>
      </c>
      <c r="H52" s="2" t="s">
        <v>18</v>
      </c>
      <c r="I52" s="4" t="s">
        <v>307</v>
      </c>
      <c r="J52" s="4" t="s">
        <v>308</v>
      </c>
      <c r="K52" s="2" t="s">
        <v>18</v>
      </c>
      <c r="L52" s="2" t="s">
        <v>21</v>
      </c>
      <c r="M52" s="3" t="s">
        <v>309</v>
      </c>
    </row>
    <row r="53" customFormat="false" ht="15" hidden="false" customHeight="false" outlineLevel="0" collapsed="false">
      <c r="A53" s="2" t="n">
        <v>52</v>
      </c>
      <c r="B53" s="3" t="s">
        <v>310</v>
      </c>
      <c r="C53" s="2" t="s">
        <v>184</v>
      </c>
      <c r="D53" s="2" t="s">
        <v>24</v>
      </c>
      <c r="E53" s="3" t="s">
        <v>311</v>
      </c>
      <c r="F53" s="2" t="s">
        <v>312</v>
      </c>
      <c r="G53" s="2" t="s">
        <v>18</v>
      </c>
      <c r="H53" s="2" t="s">
        <v>18</v>
      </c>
      <c r="I53" s="4" t="s">
        <v>283</v>
      </c>
      <c r="J53" s="4" t="s">
        <v>313</v>
      </c>
      <c r="K53" s="2" t="s">
        <v>18</v>
      </c>
      <c r="L53" s="2" t="s">
        <v>21</v>
      </c>
      <c r="M53" s="3" t="s">
        <v>314</v>
      </c>
    </row>
    <row r="54" customFormat="false" ht="15" hidden="false" customHeight="false" outlineLevel="0" collapsed="false">
      <c r="A54" s="2" t="n">
        <v>53</v>
      </c>
      <c r="B54" s="3" t="s">
        <v>315</v>
      </c>
      <c r="C54" s="2" t="s">
        <v>184</v>
      </c>
      <c r="D54" s="2" t="s">
        <v>18</v>
      </c>
      <c r="E54" s="3" t="s">
        <v>316</v>
      </c>
      <c r="F54" s="2" t="s">
        <v>317</v>
      </c>
      <c r="G54" s="2" t="s">
        <v>18</v>
      </c>
      <c r="H54" s="2" t="s">
        <v>18</v>
      </c>
      <c r="I54" s="4" t="s">
        <v>283</v>
      </c>
      <c r="J54" s="4" t="s">
        <v>318</v>
      </c>
      <c r="K54" s="2" t="s">
        <v>18</v>
      </c>
      <c r="L54" s="2" t="s">
        <v>21</v>
      </c>
      <c r="M54" s="3" t="s">
        <v>314</v>
      </c>
    </row>
    <row r="55" customFormat="false" ht="15" hidden="false" customHeight="false" outlineLevel="0" collapsed="false">
      <c r="A55" s="2" t="n">
        <v>54</v>
      </c>
      <c r="B55" s="3" t="s">
        <v>319</v>
      </c>
      <c r="C55" s="2" t="s">
        <v>184</v>
      </c>
      <c r="D55" s="2" t="s">
        <v>15</v>
      </c>
      <c r="E55" s="3" t="s">
        <v>320</v>
      </c>
      <c r="F55" s="2" t="s">
        <v>321</v>
      </c>
      <c r="G55" s="2" t="s">
        <v>18</v>
      </c>
      <c r="H55" s="2" t="s">
        <v>18</v>
      </c>
      <c r="I55" s="4" t="s">
        <v>283</v>
      </c>
      <c r="J55" s="4" t="s">
        <v>322</v>
      </c>
      <c r="K55" s="2" t="s">
        <v>18</v>
      </c>
      <c r="L55" s="2" t="s">
        <v>21</v>
      </c>
      <c r="M55" s="3" t="s">
        <v>323</v>
      </c>
    </row>
    <row r="56" customFormat="false" ht="23.85" hidden="false" customHeight="false" outlineLevel="0" collapsed="false">
      <c r="A56" s="2" t="n">
        <v>55</v>
      </c>
      <c r="B56" s="3" t="s">
        <v>324</v>
      </c>
      <c r="C56" s="2" t="s">
        <v>325</v>
      </c>
      <c r="D56" s="2" t="s">
        <v>38</v>
      </c>
      <c r="E56" s="3" t="s">
        <v>326</v>
      </c>
      <c r="F56" s="2" t="s">
        <v>327</v>
      </c>
      <c r="G56" s="2" t="s">
        <v>18</v>
      </c>
      <c r="H56" s="4" t="s">
        <v>328</v>
      </c>
      <c r="I56" s="2" t="s">
        <v>18</v>
      </c>
      <c r="J56" s="4" t="s">
        <v>329</v>
      </c>
      <c r="K56" s="2" t="s">
        <v>18</v>
      </c>
      <c r="L56" s="2" t="s">
        <v>21</v>
      </c>
      <c r="M56" s="3" t="s">
        <v>330</v>
      </c>
    </row>
    <row r="57" customFormat="false" ht="15" hidden="false" customHeight="false" outlineLevel="0" collapsed="false">
      <c r="A57" s="2" t="n">
        <v>56</v>
      </c>
      <c r="B57" s="3" t="s">
        <v>331</v>
      </c>
      <c r="C57" s="2" t="s">
        <v>184</v>
      </c>
      <c r="D57" s="2" t="s">
        <v>24</v>
      </c>
      <c r="E57" s="3" t="s">
        <v>332</v>
      </c>
      <c r="F57" s="2" t="s">
        <v>333</v>
      </c>
      <c r="G57" s="4" t="s">
        <v>334</v>
      </c>
      <c r="H57" s="2" t="s">
        <v>18</v>
      </c>
      <c r="I57" s="2" t="s">
        <v>18</v>
      </c>
      <c r="J57" s="4" t="s">
        <v>335</v>
      </c>
      <c r="K57" s="2" t="s">
        <v>18</v>
      </c>
      <c r="L57" s="2" t="s">
        <v>21</v>
      </c>
      <c r="M57" s="3" t="s">
        <v>336</v>
      </c>
    </row>
    <row r="58" customFormat="false" ht="15" hidden="false" customHeight="false" outlineLevel="0" collapsed="false">
      <c r="A58" s="2" t="n">
        <v>57</v>
      </c>
      <c r="B58" s="3" t="s">
        <v>337</v>
      </c>
      <c r="C58" s="2" t="s">
        <v>184</v>
      </c>
      <c r="D58" s="2" t="s">
        <v>110</v>
      </c>
      <c r="E58" s="3" t="s">
        <v>338</v>
      </c>
      <c r="F58" s="2" t="s">
        <v>339</v>
      </c>
      <c r="G58" s="2" t="s">
        <v>18</v>
      </c>
      <c r="H58" s="4" t="s">
        <v>340</v>
      </c>
      <c r="I58" s="2" t="s">
        <v>18</v>
      </c>
      <c r="J58" s="4" t="s">
        <v>341</v>
      </c>
      <c r="K58" s="2" t="s">
        <v>18</v>
      </c>
      <c r="L58" s="2" t="s">
        <v>21</v>
      </c>
      <c r="M58" s="3" t="s">
        <v>342</v>
      </c>
    </row>
    <row r="59" customFormat="false" ht="15" hidden="false" customHeight="false" outlineLevel="0" collapsed="false">
      <c r="A59" s="2" t="n">
        <v>58</v>
      </c>
      <c r="B59" s="3" t="s">
        <v>343</v>
      </c>
      <c r="C59" s="2" t="s">
        <v>184</v>
      </c>
      <c r="D59" s="2" t="s">
        <v>24</v>
      </c>
      <c r="E59" s="3" t="s">
        <v>344</v>
      </c>
      <c r="F59" s="2" t="s">
        <v>345</v>
      </c>
      <c r="G59" s="2" t="s">
        <v>18</v>
      </c>
      <c r="H59" s="2" t="s">
        <v>18</v>
      </c>
      <c r="I59" s="4" t="s">
        <v>346</v>
      </c>
      <c r="J59" s="4" t="s">
        <v>347</v>
      </c>
      <c r="K59" s="2" t="s">
        <v>18</v>
      </c>
      <c r="L59" s="2" t="s">
        <v>21</v>
      </c>
      <c r="M59" s="3" t="s">
        <v>348</v>
      </c>
    </row>
    <row r="60" customFormat="false" ht="23.85" hidden="false" customHeight="false" outlineLevel="0" collapsed="false">
      <c r="A60" s="2" t="n">
        <v>59</v>
      </c>
      <c r="B60" s="3" t="s">
        <v>349</v>
      </c>
      <c r="C60" s="2" t="s">
        <v>184</v>
      </c>
      <c r="D60" s="2" t="s">
        <v>350</v>
      </c>
      <c r="E60" s="3" t="s">
        <v>351</v>
      </c>
      <c r="F60" s="2" t="s">
        <v>352</v>
      </c>
      <c r="G60" s="2" t="s">
        <v>18</v>
      </c>
      <c r="H60" s="2" t="s">
        <v>18</v>
      </c>
      <c r="I60" s="4" t="s">
        <v>346</v>
      </c>
      <c r="J60" s="4" t="s">
        <v>353</v>
      </c>
      <c r="K60" s="2" t="s">
        <v>18</v>
      </c>
      <c r="L60" s="2" t="s">
        <v>21</v>
      </c>
      <c r="M60" s="3" t="s">
        <v>354</v>
      </c>
    </row>
    <row r="61" customFormat="false" ht="15" hidden="false" customHeight="false" outlineLevel="0" collapsed="false">
      <c r="A61" s="2" t="n">
        <v>60</v>
      </c>
      <c r="B61" s="3" t="s">
        <v>355</v>
      </c>
      <c r="C61" s="2" t="s">
        <v>14</v>
      </c>
      <c r="D61" s="2" t="s">
        <v>24</v>
      </c>
      <c r="E61" s="3" t="s">
        <v>344</v>
      </c>
      <c r="F61" s="2" t="s">
        <v>356</v>
      </c>
      <c r="G61" s="2" t="s">
        <v>18</v>
      </c>
      <c r="H61" s="2" t="s">
        <v>18</v>
      </c>
      <c r="I61" s="4" t="s">
        <v>357</v>
      </c>
      <c r="J61" s="4" t="s">
        <v>347</v>
      </c>
      <c r="K61" s="2" t="s">
        <v>18</v>
      </c>
      <c r="L61" s="2" t="s">
        <v>21</v>
      </c>
      <c r="M61" s="3" t="s">
        <v>358</v>
      </c>
    </row>
    <row r="62" customFormat="false" ht="23.85" hidden="false" customHeight="false" outlineLevel="0" collapsed="false">
      <c r="A62" s="2" t="n">
        <v>61</v>
      </c>
      <c r="B62" s="3" t="s">
        <v>359</v>
      </c>
      <c r="C62" s="2" t="s">
        <v>37</v>
      </c>
      <c r="D62" s="2" t="s">
        <v>24</v>
      </c>
      <c r="E62" s="3" t="s">
        <v>360</v>
      </c>
      <c r="F62" s="2" t="s">
        <v>361</v>
      </c>
      <c r="G62" s="2" t="s">
        <v>18</v>
      </c>
      <c r="H62" s="2" t="s">
        <v>18</v>
      </c>
      <c r="I62" s="2" t="s">
        <v>18</v>
      </c>
      <c r="J62" s="4" t="s">
        <v>362</v>
      </c>
      <c r="K62" s="2" t="s">
        <v>18</v>
      </c>
      <c r="L62" s="2" t="s">
        <v>21</v>
      </c>
      <c r="M62" s="3" t="s">
        <v>363</v>
      </c>
    </row>
    <row r="63" customFormat="false" ht="15" hidden="false" customHeight="false" outlineLevel="0" collapsed="false">
      <c r="A63" s="2" t="n">
        <v>62</v>
      </c>
      <c r="B63" s="3" t="s">
        <v>364</v>
      </c>
      <c r="C63" s="2" t="s">
        <v>201</v>
      </c>
      <c r="D63" s="2" t="s">
        <v>110</v>
      </c>
      <c r="E63" s="3" t="s">
        <v>365</v>
      </c>
      <c r="F63" s="2" t="s">
        <v>366</v>
      </c>
      <c r="G63" s="2" t="s">
        <v>18</v>
      </c>
      <c r="H63" s="2" t="s">
        <v>18</v>
      </c>
      <c r="I63" s="2" t="s">
        <v>18</v>
      </c>
      <c r="J63" s="4" t="s">
        <v>367</v>
      </c>
      <c r="K63" s="2" t="s">
        <v>18</v>
      </c>
      <c r="L63" s="2" t="s">
        <v>21</v>
      </c>
      <c r="M63" s="3" t="s">
        <v>368</v>
      </c>
    </row>
    <row r="64" customFormat="false" ht="15" hidden="false" customHeight="false" outlineLevel="0" collapsed="false">
      <c r="A64" s="2" t="n">
        <v>63</v>
      </c>
      <c r="B64" s="3" t="s">
        <v>369</v>
      </c>
      <c r="C64" s="2" t="s">
        <v>370</v>
      </c>
      <c r="D64" s="2" t="s">
        <v>371</v>
      </c>
      <c r="E64" s="3" t="s">
        <v>372</v>
      </c>
      <c r="F64" s="2" t="s">
        <v>373</v>
      </c>
      <c r="G64" s="2" t="s">
        <v>18</v>
      </c>
      <c r="H64" s="2" t="s">
        <v>18</v>
      </c>
      <c r="I64" s="2" t="s">
        <v>18</v>
      </c>
      <c r="J64" s="4" t="s">
        <v>374</v>
      </c>
      <c r="K64" s="2" t="s">
        <v>18</v>
      </c>
      <c r="L64" s="2" t="s">
        <v>21</v>
      </c>
      <c r="M64" s="3" t="s">
        <v>375</v>
      </c>
    </row>
    <row r="65" customFormat="false" ht="15" hidden="false" customHeight="false" outlineLevel="0" collapsed="false">
      <c r="A65" s="2" t="n">
        <v>64</v>
      </c>
      <c r="B65" s="3" t="s">
        <v>376</v>
      </c>
      <c r="C65" s="2" t="s">
        <v>231</v>
      </c>
      <c r="D65" s="2" t="s">
        <v>15</v>
      </c>
      <c r="E65" s="3" t="s">
        <v>377</v>
      </c>
      <c r="F65" s="2" t="s">
        <v>378</v>
      </c>
      <c r="G65" s="2" t="s">
        <v>18</v>
      </c>
      <c r="H65" s="2" t="s">
        <v>18</v>
      </c>
      <c r="I65" s="4" t="s">
        <v>379</v>
      </c>
      <c r="J65" s="4" t="s">
        <v>380</v>
      </c>
      <c r="K65" s="2" t="s">
        <v>18</v>
      </c>
      <c r="L65" s="2" t="s">
        <v>21</v>
      </c>
      <c r="M65" s="3" t="s">
        <v>381</v>
      </c>
    </row>
    <row r="66" customFormat="false" ht="15" hidden="false" customHeight="false" outlineLevel="0" collapsed="false">
      <c r="A66" s="2" t="n">
        <v>65</v>
      </c>
      <c r="B66" s="3" t="s">
        <v>382</v>
      </c>
      <c r="C66" s="2" t="s">
        <v>14</v>
      </c>
      <c r="D66" s="2" t="s">
        <v>24</v>
      </c>
      <c r="E66" s="3" t="s">
        <v>383</v>
      </c>
      <c r="F66" s="2" t="s">
        <v>384</v>
      </c>
      <c r="G66" s="2" t="s">
        <v>18</v>
      </c>
      <c r="H66" s="2" t="s">
        <v>18</v>
      </c>
      <c r="I66" s="4" t="s">
        <v>385</v>
      </c>
      <c r="J66" s="4" t="s">
        <v>386</v>
      </c>
      <c r="K66" s="2" t="s">
        <v>18</v>
      </c>
      <c r="L66" s="2" t="s">
        <v>21</v>
      </c>
      <c r="M66" s="3" t="s">
        <v>387</v>
      </c>
    </row>
    <row r="67" customFormat="false" ht="15" hidden="false" customHeight="false" outlineLevel="0" collapsed="false">
      <c r="A67" s="2" t="n">
        <v>66</v>
      </c>
      <c r="B67" s="3" t="s">
        <v>388</v>
      </c>
      <c r="C67" s="2" t="s">
        <v>31</v>
      </c>
      <c r="D67" s="2" t="s">
        <v>18</v>
      </c>
      <c r="E67" s="3" t="s">
        <v>389</v>
      </c>
      <c r="F67" s="2" t="s">
        <v>390</v>
      </c>
      <c r="G67" s="2" t="s">
        <v>18</v>
      </c>
      <c r="H67" s="2" t="s">
        <v>18</v>
      </c>
      <c r="I67" s="4" t="s">
        <v>391</v>
      </c>
      <c r="J67" s="4" t="s">
        <v>392</v>
      </c>
      <c r="K67" s="2" t="s">
        <v>18</v>
      </c>
      <c r="L67" s="2" t="s">
        <v>21</v>
      </c>
      <c r="M67" s="3" t="s">
        <v>393</v>
      </c>
    </row>
    <row r="68" customFormat="false" ht="23.85" hidden="false" customHeight="false" outlineLevel="0" collapsed="false">
      <c r="A68" s="2" t="n">
        <v>67</v>
      </c>
      <c r="B68" s="3" t="s">
        <v>394</v>
      </c>
      <c r="C68" s="2" t="s">
        <v>14</v>
      </c>
      <c r="D68" s="2" t="s">
        <v>15</v>
      </c>
      <c r="E68" s="3" t="s">
        <v>395</v>
      </c>
      <c r="F68" s="2" t="s">
        <v>396</v>
      </c>
      <c r="G68" s="2" t="s">
        <v>18</v>
      </c>
      <c r="H68" s="2" t="s">
        <v>18</v>
      </c>
      <c r="I68" s="4" t="s">
        <v>397</v>
      </c>
      <c r="J68" s="4" t="s">
        <v>398</v>
      </c>
      <c r="K68" s="2" t="s">
        <v>18</v>
      </c>
      <c r="L68" s="2" t="s">
        <v>21</v>
      </c>
      <c r="M68" s="3" t="s">
        <v>399</v>
      </c>
    </row>
    <row r="69" customFormat="false" ht="23.85" hidden="false" customHeight="false" outlineLevel="0" collapsed="false">
      <c r="A69" s="2" t="n">
        <v>68</v>
      </c>
      <c r="B69" s="3" t="s">
        <v>400</v>
      </c>
      <c r="C69" s="2" t="s">
        <v>57</v>
      </c>
      <c r="D69" s="2" t="s">
        <v>24</v>
      </c>
      <c r="E69" s="3" t="s">
        <v>401</v>
      </c>
      <c r="F69" s="2" t="s">
        <v>402</v>
      </c>
      <c r="G69" s="2" t="s">
        <v>18</v>
      </c>
      <c r="H69" s="2" t="s">
        <v>18</v>
      </c>
      <c r="I69" s="4" t="s">
        <v>403</v>
      </c>
      <c r="J69" s="4" t="s">
        <v>404</v>
      </c>
      <c r="K69" s="2" t="s">
        <v>18</v>
      </c>
      <c r="L69" s="2" t="s">
        <v>21</v>
      </c>
      <c r="M69" s="3" t="s">
        <v>405</v>
      </c>
    </row>
    <row r="70" customFormat="false" ht="23.85" hidden="false" customHeight="false" outlineLevel="0" collapsed="false">
      <c r="A70" s="2" t="n">
        <v>69</v>
      </c>
      <c r="B70" s="3" t="s">
        <v>406</v>
      </c>
      <c r="C70" s="2" t="s">
        <v>370</v>
      </c>
      <c r="D70" s="2" t="s">
        <v>18</v>
      </c>
      <c r="E70" s="3" t="s">
        <v>389</v>
      </c>
      <c r="F70" s="2" t="s">
        <v>407</v>
      </c>
      <c r="G70" s="2" t="s">
        <v>18</v>
      </c>
      <c r="H70" s="2" t="s">
        <v>18</v>
      </c>
      <c r="I70" s="2" t="s">
        <v>18</v>
      </c>
      <c r="J70" s="4" t="s">
        <v>392</v>
      </c>
      <c r="K70" s="2" t="s">
        <v>18</v>
      </c>
      <c r="L70" s="2" t="s">
        <v>21</v>
      </c>
      <c r="M70" s="3" t="s">
        <v>408</v>
      </c>
    </row>
    <row r="71" customFormat="false" ht="23.85" hidden="false" customHeight="false" outlineLevel="0" collapsed="false">
      <c r="A71" s="2" t="n">
        <v>70</v>
      </c>
      <c r="B71" s="3" t="s">
        <v>409</v>
      </c>
      <c r="C71" s="2" t="s">
        <v>14</v>
      </c>
      <c r="D71" s="2" t="s">
        <v>110</v>
      </c>
      <c r="E71" s="3" t="s">
        <v>410</v>
      </c>
      <c r="F71" s="2" t="s">
        <v>411</v>
      </c>
      <c r="G71" s="2" t="s">
        <v>18</v>
      </c>
      <c r="H71" s="2" t="s">
        <v>18</v>
      </c>
      <c r="I71" s="4" t="s">
        <v>412</v>
      </c>
      <c r="J71" s="4" t="s">
        <v>413</v>
      </c>
      <c r="K71" s="2" t="s">
        <v>18</v>
      </c>
      <c r="L71" s="2" t="s">
        <v>21</v>
      </c>
      <c r="M71" s="3" t="s">
        <v>414</v>
      </c>
    </row>
    <row r="72" customFormat="false" ht="23.85" hidden="false" customHeight="false" outlineLevel="0" collapsed="false">
      <c r="A72" s="2" t="n">
        <v>71</v>
      </c>
      <c r="B72" s="3" t="s">
        <v>415</v>
      </c>
      <c r="C72" s="2" t="s">
        <v>75</v>
      </c>
      <c r="D72" s="2" t="s">
        <v>18</v>
      </c>
      <c r="E72" s="3" t="s">
        <v>293</v>
      </c>
      <c r="F72" s="2" t="s">
        <v>416</v>
      </c>
      <c r="G72" s="2" t="s">
        <v>18</v>
      </c>
      <c r="H72" s="2" t="s">
        <v>18</v>
      </c>
      <c r="I72" s="4" t="s">
        <v>417</v>
      </c>
      <c r="J72" s="4" t="s">
        <v>296</v>
      </c>
      <c r="K72" s="2" t="s">
        <v>18</v>
      </c>
      <c r="L72" s="2" t="s">
        <v>21</v>
      </c>
      <c r="M72" s="3" t="s">
        <v>418</v>
      </c>
    </row>
    <row r="73" customFormat="false" ht="23.85" hidden="false" customHeight="false" outlineLevel="0" collapsed="false">
      <c r="A73" s="2" t="n">
        <v>72</v>
      </c>
      <c r="B73" s="3" t="s">
        <v>419</v>
      </c>
      <c r="C73" s="2" t="s">
        <v>116</v>
      </c>
      <c r="D73" s="2" t="s">
        <v>18</v>
      </c>
      <c r="E73" s="3" t="s">
        <v>420</v>
      </c>
      <c r="F73" s="2" t="s">
        <v>421</v>
      </c>
      <c r="G73" s="2" t="s">
        <v>18</v>
      </c>
      <c r="H73" s="2" t="s">
        <v>18</v>
      </c>
      <c r="I73" s="4" t="s">
        <v>66</v>
      </c>
      <c r="J73" s="4" t="s">
        <v>422</v>
      </c>
      <c r="K73" s="2" t="s">
        <v>18</v>
      </c>
      <c r="L73" s="2" t="s">
        <v>21</v>
      </c>
      <c r="M73" s="3" t="s">
        <v>423</v>
      </c>
    </row>
    <row r="74" customFormat="false" ht="23.85" hidden="false" customHeight="false" outlineLevel="0" collapsed="false">
      <c r="A74" s="2" t="n">
        <v>73</v>
      </c>
      <c r="B74" s="3" t="s">
        <v>424</v>
      </c>
      <c r="C74" s="2" t="s">
        <v>116</v>
      </c>
      <c r="D74" s="2" t="s">
        <v>24</v>
      </c>
      <c r="E74" s="3" t="s">
        <v>425</v>
      </c>
      <c r="F74" s="2" t="s">
        <v>426</v>
      </c>
      <c r="G74" s="2" t="s">
        <v>18</v>
      </c>
      <c r="H74" s="2" t="s">
        <v>18</v>
      </c>
      <c r="I74" s="4" t="s">
        <v>427</v>
      </c>
      <c r="J74" s="4" t="s">
        <v>428</v>
      </c>
      <c r="K74" s="2" t="s">
        <v>18</v>
      </c>
      <c r="L74" s="2" t="s">
        <v>21</v>
      </c>
      <c r="M74" s="3" t="s">
        <v>429</v>
      </c>
    </row>
    <row r="75" customFormat="false" ht="23.85" hidden="false" customHeight="false" outlineLevel="0" collapsed="false">
      <c r="A75" s="2" t="n">
        <v>74</v>
      </c>
      <c r="B75" s="3" t="s">
        <v>430</v>
      </c>
      <c r="C75" s="2" t="s">
        <v>116</v>
      </c>
      <c r="D75" s="2" t="s">
        <v>24</v>
      </c>
      <c r="E75" s="3" t="s">
        <v>431</v>
      </c>
      <c r="F75" s="2" t="s">
        <v>432</v>
      </c>
      <c r="G75" s="2" t="s">
        <v>18</v>
      </c>
      <c r="H75" s="2" t="s">
        <v>18</v>
      </c>
      <c r="I75" s="4" t="s">
        <v>433</v>
      </c>
      <c r="J75" s="4" t="s">
        <v>434</v>
      </c>
      <c r="K75" s="2" t="s">
        <v>18</v>
      </c>
      <c r="L75" s="2" t="s">
        <v>21</v>
      </c>
      <c r="M75" s="3" t="s">
        <v>435</v>
      </c>
    </row>
    <row r="76" customFormat="false" ht="15" hidden="false" customHeight="false" outlineLevel="0" collapsed="false">
      <c r="A76" s="2" t="n">
        <v>75</v>
      </c>
      <c r="B76" s="3" t="s">
        <v>436</v>
      </c>
      <c r="C76" s="2" t="s">
        <v>63</v>
      </c>
      <c r="D76" s="2" t="s">
        <v>18</v>
      </c>
      <c r="E76" s="3" t="s">
        <v>437</v>
      </c>
      <c r="F76" s="2" t="s">
        <v>438</v>
      </c>
      <c r="G76" s="2" t="s">
        <v>18</v>
      </c>
      <c r="H76" s="2" t="s">
        <v>18</v>
      </c>
      <c r="I76" s="4" t="s">
        <v>66</v>
      </c>
      <c r="J76" s="4" t="s">
        <v>439</v>
      </c>
      <c r="K76" s="2" t="s">
        <v>18</v>
      </c>
      <c r="L76" s="2" t="s">
        <v>21</v>
      </c>
      <c r="M76" s="3" t="s">
        <v>440</v>
      </c>
    </row>
    <row r="77" customFormat="false" ht="23.85" hidden="false" customHeight="false" outlineLevel="0" collapsed="false">
      <c r="A77" s="2" t="n">
        <v>76</v>
      </c>
      <c r="B77" s="3" t="s">
        <v>441</v>
      </c>
      <c r="C77" s="2" t="s">
        <v>201</v>
      </c>
      <c r="D77" s="2" t="s">
        <v>18</v>
      </c>
      <c r="E77" s="3" t="s">
        <v>442</v>
      </c>
      <c r="F77" s="2" t="s">
        <v>443</v>
      </c>
      <c r="G77" s="2" t="s">
        <v>18</v>
      </c>
      <c r="H77" s="2" t="s">
        <v>18</v>
      </c>
      <c r="I77" s="2" t="s">
        <v>18</v>
      </c>
      <c r="J77" s="4" t="s">
        <v>444</v>
      </c>
      <c r="K77" s="2" t="s">
        <v>18</v>
      </c>
      <c r="L77" s="2" t="s">
        <v>21</v>
      </c>
      <c r="M77" s="3" t="s">
        <v>445</v>
      </c>
    </row>
    <row r="78" customFormat="false" ht="15" hidden="false" customHeight="false" outlineLevel="0" collapsed="false">
      <c r="A78" s="2" t="n">
        <v>77</v>
      </c>
      <c r="B78" s="3" t="s">
        <v>446</v>
      </c>
      <c r="C78" s="2" t="s">
        <v>123</v>
      </c>
      <c r="D78" s="2" t="s">
        <v>18</v>
      </c>
      <c r="E78" s="3" t="s">
        <v>447</v>
      </c>
      <c r="F78" s="2" t="s">
        <v>18</v>
      </c>
      <c r="G78" s="2" t="s">
        <v>18</v>
      </c>
      <c r="H78" s="2" t="s">
        <v>18</v>
      </c>
      <c r="I78" s="2" t="s">
        <v>18</v>
      </c>
      <c r="J78" s="4" t="s">
        <v>448</v>
      </c>
      <c r="K78" s="2" t="s">
        <v>18</v>
      </c>
      <c r="L78" s="2" t="s">
        <v>21</v>
      </c>
      <c r="M78" s="3" t="s">
        <v>449</v>
      </c>
    </row>
    <row r="79" customFormat="false" ht="23.85" hidden="false" customHeight="false" outlineLevel="0" collapsed="false">
      <c r="A79" s="2" t="n">
        <v>78</v>
      </c>
      <c r="B79" s="3" t="s">
        <v>450</v>
      </c>
      <c r="C79" s="2" t="s">
        <v>123</v>
      </c>
      <c r="D79" s="2" t="s">
        <v>24</v>
      </c>
      <c r="E79" s="3" t="s">
        <v>451</v>
      </c>
      <c r="F79" s="2" t="s">
        <v>452</v>
      </c>
      <c r="G79" s="2" t="s">
        <v>18</v>
      </c>
      <c r="H79" s="2" t="s">
        <v>18</v>
      </c>
      <c r="I79" s="2" t="s">
        <v>18</v>
      </c>
      <c r="J79" s="4" t="s">
        <v>453</v>
      </c>
      <c r="K79" s="2" t="s">
        <v>18</v>
      </c>
      <c r="L79" s="2" t="s">
        <v>21</v>
      </c>
      <c r="M79" s="3" t="s">
        <v>454</v>
      </c>
    </row>
    <row r="80" customFormat="false" ht="23.85" hidden="false" customHeight="false" outlineLevel="0" collapsed="false">
      <c r="A80" s="2" t="n">
        <v>79</v>
      </c>
      <c r="B80" s="3" t="s">
        <v>455</v>
      </c>
      <c r="C80" s="2" t="s">
        <v>44</v>
      </c>
      <c r="D80" s="2" t="s">
        <v>24</v>
      </c>
      <c r="E80" s="3" t="s">
        <v>456</v>
      </c>
      <c r="F80" s="2" t="s">
        <v>457</v>
      </c>
      <c r="G80" s="2" t="s">
        <v>18</v>
      </c>
      <c r="H80" s="2" t="s">
        <v>18</v>
      </c>
      <c r="I80" s="4" t="s">
        <v>458</v>
      </c>
      <c r="J80" s="4" t="s">
        <v>459</v>
      </c>
      <c r="K80" s="2" t="s">
        <v>18</v>
      </c>
      <c r="L80" s="2" t="s">
        <v>21</v>
      </c>
      <c r="M80" s="3" t="s">
        <v>460</v>
      </c>
    </row>
    <row r="81" customFormat="false" ht="15" hidden="false" customHeight="false" outlineLevel="0" collapsed="false">
      <c r="A81" s="2" t="n">
        <v>80</v>
      </c>
      <c r="B81" s="3" t="s">
        <v>461</v>
      </c>
      <c r="C81" s="2" t="s">
        <v>201</v>
      </c>
      <c r="D81" s="2" t="s">
        <v>18</v>
      </c>
      <c r="E81" s="3" t="s">
        <v>462</v>
      </c>
      <c r="F81" s="2" t="s">
        <v>18</v>
      </c>
      <c r="G81" s="2" t="s">
        <v>18</v>
      </c>
      <c r="H81" s="2" t="s">
        <v>18</v>
      </c>
      <c r="I81" s="2" t="s">
        <v>18</v>
      </c>
      <c r="J81" s="4" t="s">
        <v>463</v>
      </c>
      <c r="K81" s="2" t="s">
        <v>18</v>
      </c>
      <c r="L81" s="2" t="s">
        <v>21</v>
      </c>
      <c r="M81" s="3" t="s">
        <v>464</v>
      </c>
    </row>
    <row r="82" customFormat="false" ht="23.85" hidden="false" customHeight="false" outlineLevel="0" collapsed="false">
      <c r="A82" s="2" t="n">
        <v>81</v>
      </c>
      <c r="B82" s="3" t="s">
        <v>465</v>
      </c>
      <c r="C82" s="2" t="s">
        <v>141</v>
      </c>
      <c r="D82" s="2" t="s">
        <v>18</v>
      </c>
      <c r="E82" s="3" t="s">
        <v>466</v>
      </c>
      <c r="F82" s="2" t="s">
        <v>467</v>
      </c>
      <c r="G82" s="2" t="s">
        <v>18</v>
      </c>
      <c r="H82" s="2" t="s">
        <v>18</v>
      </c>
      <c r="I82" s="4" t="s">
        <v>468</v>
      </c>
      <c r="J82" s="4" t="s">
        <v>469</v>
      </c>
      <c r="K82" s="2" t="s">
        <v>18</v>
      </c>
      <c r="L82" s="2" t="s">
        <v>21</v>
      </c>
      <c r="M82" s="3" t="s">
        <v>470</v>
      </c>
    </row>
    <row r="83" customFormat="false" ht="15" hidden="false" customHeight="false" outlineLevel="0" collapsed="false">
      <c r="A83" s="2" t="n">
        <v>82</v>
      </c>
      <c r="B83" s="3" t="s">
        <v>471</v>
      </c>
      <c r="C83" s="2" t="s">
        <v>37</v>
      </c>
      <c r="D83" s="2" t="s">
        <v>24</v>
      </c>
      <c r="E83" s="3" t="s">
        <v>472</v>
      </c>
      <c r="F83" s="2" t="s">
        <v>473</v>
      </c>
      <c r="G83" s="2" t="s">
        <v>18</v>
      </c>
      <c r="H83" s="2" t="s">
        <v>18</v>
      </c>
      <c r="I83" s="4" t="s">
        <v>474</v>
      </c>
      <c r="J83" s="4" t="s">
        <v>475</v>
      </c>
      <c r="K83" s="2" t="s">
        <v>18</v>
      </c>
      <c r="L83" s="2" t="s">
        <v>21</v>
      </c>
      <c r="M83" s="3" t="s">
        <v>476</v>
      </c>
    </row>
    <row r="84" customFormat="false" ht="23.85" hidden="false" customHeight="false" outlineLevel="0" collapsed="false">
      <c r="A84" s="2" t="n">
        <v>83</v>
      </c>
      <c r="B84" s="3" t="s">
        <v>477</v>
      </c>
      <c r="C84" s="2" t="s">
        <v>37</v>
      </c>
      <c r="D84" s="2" t="s">
        <v>478</v>
      </c>
      <c r="E84" s="3" t="s">
        <v>479</v>
      </c>
      <c r="F84" s="2" t="s">
        <v>480</v>
      </c>
      <c r="G84" s="2" t="s">
        <v>18</v>
      </c>
      <c r="H84" s="2" t="s">
        <v>18</v>
      </c>
      <c r="I84" s="4" t="s">
        <v>481</v>
      </c>
      <c r="J84" s="4" t="s">
        <v>482</v>
      </c>
      <c r="K84" s="2" t="s">
        <v>18</v>
      </c>
      <c r="L84" s="2" t="s">
        <v>21</v>
      </c>
      <c r="M84" s="3" t="s">
        <v>483</v>
      </c>
    </row>
    <row r="85" customFormat="false" ht="15" hidden="false" customHeight="false" outlineLevel="0" collapsed="false">
      <c r="A85" s="2" t="n">
        <v>84</v>
      </c>
      <c r="B85" s="3" t="s">
        <v>484</v>
      </c>
      <c r="C85" s="2" t="s">
        <v>37</v>
      </c>
      <c r="D85" s="2" t="s">
        <v>18</v>
      </c>
      <c r="E85" s="3" t="s">
        <v>485</v>
      </c>
      <c r="F85" s="2" t="s">
        <v>486</v>
      </c>
      <c r="G85" s="2" t="s">
        <v>18</v>
      </c>
      <c r="H85" s="2" t="s">
        <v>18</v>
      </c>
      <c r="I85" s="2" t="s">
        <v>18</v>
      </c>
      <c r="J85" s="4" t="s">
        <v>487</v>
      </c>
      <c r="K85" s="2" t="s">
        <v>18</v>
      </c>
      <c r="L85" s="2" t="s">
        <v>21</v>
      </c>
      <c r="M85" s="3" t="s">
        <v>488</v>
      </c>
    </row>
    <row r="86" customFormat="false" ht="23.85" hidden="false" customHeight="false" outlineLevel="0" collapsed="false">
      <c r="A86" s="2" t="n">
        <v>85</v>
      </c>
      <c r="B86" s="3" t="s">
        <v>489</v>
      </c>
      <c r="C86" s="2" t="s">
        <v>63</v>
      </c>
      <c r="D86" s="2" t="s">
        <v>15</v>
      </c>
      <c r="E86" s="3" t="s">
        <v>490</v>
      </c>
      <c r="F86" s="2" t="s">
        <v>491</v>
      </c>
      <c r="G86" s="2" t="s">
        <v>18</v>
      </c>
      <c r="H86" s="2" t="s">
        <v>18</v>
      </c>
      <c r="I86" s="2" t="s">
        <v>18</v>
      </c>
      <c r="J86" s="4" t="s">
        <v>492</v>
      </c>
      <c r="K86" s="2" t="s">
        <v>18</v>
      </c>
      <c r="L86" s="2" t="s">
        <v>21</v>
      </c>
      <c r="M86" s="3" t="s">
        <v>493</v>
      </c>
    </row>
    <row r="87" customFormat="false" ht="15" hidden="false" customHeight="false" outlineLevel="0" collapsed="false">
      <c r="A87" s="2" t="n">
        <v>86</v>
      </c>
      <c r="B87" s="3" t="s">
        <v>494</v>
      </c>
      <c r="C87" s="2" t="s">
        <v>37</v>
      </c>
      <c r="D87" s="2" t="s">
        <v>18</v>
      </c>
      <c r="E87" s="3" t="s">
        <v>495</v>
      </c>
      <c r="F87" s="2" t="s">
        <v>496</v>
      </c>
      <c r="G87" s="2" t="s">
        <v>18</v>
      </c>
      <c r="H87" s="2" t="s">
        <v>18</v>
      </c>
      <c r="I87" s="2" t="s">
        <v>18</v>
      </c>
      <c r="J87" s="4" t="s">
        <v>497</v>
      </c>
      <c r="K87" s="2" t="s">
        <v>18</v>
      </c>
      <c r="L87" s="2" t="s">
        <v>21</v>
      </c>
      <c r="M87" s="3" t="s">
        <v>498</v>
      </c>
    </row>
    <row r="88" customFormat="false" ht="23.85" hidden="false" customHeight="false" outlineLevel="0" collapsed="false">
      <c r="A88" s="2" t="n">
        <v>87</v>
      </c>
      <c r="B88" s="3" t="s">
        <v>499</v>
      </c>
      <c r="C88" s="2" t="s">
        <v>37</v>
      </c>
      <c r="D88" s="2" t="s">
        <v>24</v>
      </c>
      <c r="E88" s="3" t="s">
        <v>500</v>
      </c>
      <c r="F88" s="2" t="s">
        <v>501</v>
      </c>
      <c r="G88" s="4" t="s">
        <v>502</v>
      </c>
      <c r="H88" s="2" t="s">
        <v>18</v>
      </c>
      <c r="I88" s="2" t="s">
        <v>18</v>
      </c>
      <c r="J88" s="4" t="s">
        <v>503</v>
      </c>
      <c r="K88" s="2" t="s">
        <v>18</v>
      </c>
      <c r="L88" s="2" t="s">
        <v>21</v>
      </c>
      <c r="M88" s="3" t="s">
        <v>504</v>
      </c>
    </row>
    <row r="89" customFormat="false" ht="15" hidden="false" customHeight="false" outlineLevel="0" collapsed="false">
      <c r="A89" s="2" t="n">
        <v>88</v>
      </c>
      <c r="B89" s="3" t="s">
        <v>505</v>
      </c>
      <c r="C89" s="2" t="s">
        <v>37</v>
      </c>
      <c r="D89" s="2" t="s">
        <v>24</v>
      </c>
      <c r="E89" s="3" t="s">
        <v>506</v>
      </c>
      <c r="F89" s="2" t="s">
        <v>507</v>
      </c>
      <c r="G89" s="2" t="s">
        <v>18</v>
      </c>
      <c r="H89" s="2" t="s">
        <v>18</v>
      </c>
      <c r="I89" s="2" t="s">
        <v>18</v>
      </c>
      <c r="J89" s="4" t="s">
        <v>508</v>
      </c>
      <c r="K89" s="2" t="s">
        <v>18</v>
      </c>
      <c r="L89" s="2" t="s">
        <v>21</v>
      </c>
      <c r="M89" s="3" t="s">
        <v>509</v>
      </c>
    </row>
    <row r="90" customFormat="false" ht="15" hidden="false" customHeight="false" outlineLevel="0" collapsed="false">
      <c r="A90" s="2" t="n">
        <v>89</v>
      </c>
      <c r="B90" s="3" t="s">
        <v>510</v>
      </c>
      <c r="C90" s="2" t="s">
        <v>75</v>
      </c>
      <c r="D90" s="2" t="s">
        <v>18</v>
      </c>
      <c r="E90" s="3" t="s">
        <v>511</v>
      </c>
      <c r="F90" s="2" t="s">
        <v>18</v>
      </c>
      <c r="G90" s="2" t="s">
        <v>18</v>
      </c>
      <c r="H90" s="2" t="s">
        <v>18</v>
      </c>
      <c r="I90" s="2" t="s">
        <v>18</v>
      </c>
      <c r="J90" s="4" t="s">
        <v>512</v>
      </c>
      <c r="K90" s="2" t="s">
        <v>18</v>
      </c>
      <c r="L90" s="2" t="s">
        <v>21</v>
      </c>
      <c r="M90" s="3" t="s">
        <v>513</v>
      </c>
    </row>
    <row r="91" customFormat="false" ht="15" hidden="false" customHeight="false" outlineLevel="0" collapsed="false">
      <c r="A91" s="2" t="n">
        <v>90</v>
      </c>
      <c r="B91" s="3" t="s">
        <v>514</v>
      </c>
      <c r="C91" s="2" t="s">
        <v>515</v>
      </c>
      <c r="D91" s="2" t="s">
        <v>18</v>
      </c>
      <c r="E91" s="3" t="s">
        <v>516</v>
      </c>
      <c r="F91" s="2" t="s">
        <v>18</v>
      </c>
      <c r="G91" s="2" t="s">
        <v>18</v>
      </c>
      <c r="H91" s="2" t="s">
        <v>18</v>
      </c>
      <c r="I91" s="2" t="s">
        <v>18</v>
      </c>
      <c r="J91" s="4" t="s">
        <v>517</v>
      </c>
      <c r="K91" s="2" t="s">
        <v>18</v>
      </c>
      <c r="L91" s="2" t="s">
        <v>21</v>
      </c>
      <c r="M91" s="3" t="s">
        <v>518</v>
      </c>
    </row>
    <row r="92" customFormat="false" ht="15" hidden="false" customHeight="false" outlineLevel="0" collapsed="false">
      <c r="A92" s="2" t="n">
        <v>91</v>
      </c>
      <c r="B92" s="3" t="s">
        <v>519</v>
      </c>
      <c r="C92" s="2" t="s">
        <v>325</v>
      </c>
      <c r="D92" s="2" t="s">
        <v>24</v>
      </c>
      <c r="E92" s="3" t="s">
        <v>520</v>
      </c>
      <c r="F92" s="2" t="s">
        <v>521</v>
      </c>
      <c r="G92" s="2" t="s">
        <v>18</v>
      </c>
      <c r="H92" s="2" t="s">
        <v>18</v>
      </c>
      <c r="I92" s="2" t="s">
        <v>18</v>
      </c>
      <c r="J92" s="4" t="s">
        <v>522</v>
      </c>
      <c r="K92" s="2" t="s">
        <v>18</v>
      </c>
      <c r="L92" s="2" t="s">
        <v>21</v>
      </c>
      <c r="M92" s="3" t="s">
        <v>523</v>
      </c>
    </row>
    <row r="93" customFormat="false" ht="15" hidden="false" customHeight="false" outlineLevel="0" collapsed="false">
      <c r="A93" s="2" t="n">
        <v>92</v>
      </c>
      <c r="B93" s="3" t="s">
        <v>524</v>
      </c>
      <c r="C93" s="2" t="s">
        <v>515</v>
      </c>
      <c r="D93" s="2" t="s">
        <v>110</v>
      </c>
      <c r="E93" s="3" t="s">
        <v>525</v>
      </c>
      <c r="F93" s="2" t="s">
        <v>18</v>
      </c>
      <c r="G93" s="2" t="s">
        <v>18</v>
      </c>
      <c r="H93" s="2" t="s">
        <v>18</v>
      </c>
      <c r="I93" s="2" t="s">
        <v>18</v>
      </c>
      <c r="J93" s="4" t="s">
        <v>526</v>
      </c>
      <c r="K93" s="2" t="s">
        <v>18</v>
      </c>
      <c r="L93" s="2" t="s">
        <v>21</v>
      </c>
      <c r="M93" s="3" t="s">
        <v>527</v>
      </c>
    </row>
    <row r="94" customFormat="false" ht="15" hidden="false" customHeight="false" outlineLevel="0" collapsed="false">
      <c r="A94" s="2" t="n">
        <v>93</v>
      </c>
      <c r="B94" s="3" t="s">
        <v>528</v>
      </c>
      <c r="C94" s="2" t="s">
        <v>75</v>
      </c>
      <c r="D94" s="2" t="s">
        <v>15</v>
      </c>
      <c r="E94" s="3" t="s">
        <v>529</v>
      </c>
      <c r="F94" s="2" t="s">
        <v>530</v>
      </c>
      <c r="G94" s="2" t="s">
        <v>18</v>
      </c>
      <c r="H94" s="2" t="s">
        <v>18</v>
      </c>
      <c r="I94" s="4" t="s">
        <v>531</v>
      </c>
      <c r="J94" s="4" t="s">
        <v>532</v>
      </c>
      <c r="K94" s="2" t="s">
        <v>18</v>
      </c>
      <c r="L94" s="2" t="s">
        <v>21</v>
      </c>
      <c r="M94" s="3" t="s">
        <v>533</v>
      </c>
    </row>
    <row r="95" customFormat="false" ht="15" hidden="false" customHeight="false" outlineLevel="0" collapsed="false">
      <c r="A95" s="2" t="n">
        <v>94</v>
      </c>
      <c r="B95" s="3" t="s">
        <v>534</v>
      </c>
      <c r="C95" s="2" t="s">
        <v>75</v>
      </c>
      <c r="D95" s="2" t="s">
        <v>350</v>
      </c>
      <c r="E95" s="3" t="s">
        <v>535</v>
      </c>
      <c r="F95" s="2" t="s">
        <v>536</v>
      </c>
      <c r="G95" s="2" t="s">
        <v>18</v>
      </c>
      <c r="H95" s="2" t="s">
        <v>18</v>
      </c>
      <c r="I95" s="4" t="s">
        <v>537</v>
      </c>
      <c r="J95" s="4" t="s">
        <v>538</v>
      </c>
      <c r="K95" s="2" t="s">
        <v>18</v>
      </c>
      <c r="L95" s="2" t="s">
        <v>21</v>
      </c>
      <c r="M95" s="3" t="s">
        <v>539</v>
      </c>
    </row>
    <row r="96" customFormat="false" ht="23.85" hidden="false" customHeight="false" outlineLevel="0" collapsed="false">
      <c r="A96" s="2" t="n">
        <v>95</v>
      </c>
      <c r="B96" s="3" t="s">
        <v>540</v>
      </c>
      <c r="C96" s="2" t="s">
        <v>75</v>
      </c>
      <c r="D96" s="2" t="s">
        <v>18</v>
      </c>
      <c r="E96" s="3" t="s">
        <v>541</v>
      </c>
      <c r="F96" s="2" t="s">
        <v>542</v>
      </c>
      <c r="G96" s="2" t="s">
        <v>18</v>
      </c>
      <c r="H96" s="2" t="s">
        <v>18</v>
      </c>
      <c r="I96" s="2" t="s">
        <v>18</v>
      </c>
      <c r="J96" s="4" t="s">
        <v>543</v>
      </c>
      <c r="K96" s="2" t="s">
        <v>18</v>
      </c>
      <c r="L96" s="2" t="s">
        <v>21</v>
      </c>
      <c r="M96" s="3" t="s">
        <v>544</v>
      </c>
    </row>
    <row r="97" customFormat="false" ht="15" hidden="false" customHeight="false" outlineLevel="0" collapsed="false">
      <c r="A97" s="2" t="n">
        <v>96</v>
      </c>
      <c r="B97" s="3" t="s">
        <v>545</v>
      </c>
      <c r="C97" s="2" t="s">
        <v>75</v>
      </c>
      <c r="D97" s="2" t="s">
        <v>24</v>
      </c>
      <c r="E97" s="3" t="s">
        <v>305</v>
      </c>
      <c r="F97" s="2" t="s">
        <v>546</v>
      </c>
      <c r="G97" s="4" t="s">
        <v>547</v>
      </c>
      <c r="H97" s="2" t="s">
        <v>18</v>
      </c>
      <c r="I97" s="2" t="s">
        <v>18</v>
      </c>
      <c r="J97" s="4" t="s">
        <v>308</v>
      </c>
      <c r="K97" s="2" t="s">
        <v>18</v>
      </c>
      <c r="L97" s="2" t="s">
        <v>21</v>
      </c>
      <c r="M97" s="3" t="s">
        <v>548</v>
      </c>
    </row>
    <row r="98" customFormat="false" ht="15" hidden="false" customHeight="false" outlineLevel="0" collapsed="false">
      <c r="A98" s="2" t="n">
        <v>97</v>
      </c>
      <c r="B98" s="3" t="s">
        <v>549</v>
      </c>
      <c r="C98" s="2" t="s">
        <v>75</v>
      </c>
      <c r="D98" s="2" t="s">
        <v>142</v>
      </c>
      <c r="E98" s="3" t="s">
        <v>550</v>
      </c>
      <c r="F98" s="2" t="s">
        <v>551</v>
      </c>
      <c r="G98" s="2" t="s">
        <v>18</v>
      </c>
      <c r="H98" s="2" t="s">
        <v>18</v>
      </c>
      <c r="I98" s="4" t="s">
        <v>417</v>
      </c>
      <c r="J98" s="4" t="s">
        <v>552</v>
      </c>
      <c r="K98" s="2" t="s">
        <v>18</v>
      </c>
      <c r="L98" s="2" t="s">
        <v>21</v>
      </c>
      <c r="M98" s="3" t="s">
        <v>553</v>
      </c>
    </row>
    <row r="99" customFormat="false" ht="15" hidden="false" customHeight="false" outlineLevel="0" collapsed="false">
      <c r="A99" s="2" t="n">
        <v>98</v>
      </c>
      <c r="B99" s="3" t="s">
        <v>554</v>
      </c>
      <c r="C99" s="2" t="s">
        <v>141</v>
      </c>
      <c r="D99" s="2" t="s">
        <v>24</v>
      </c>
      <c r="E99" s="3" t="s">
        <v>555</v>
      </c>
      <c r="F99" s="2" t="s">
        <v>18</v>
      </c>
      <c r="G99" s="2" t="s">
        <v>18</v>
      </c>
      <c r="H99" s="2" t="s">
        <v>18</v>
      </c>
      <c r="I99" s="2" t="s">
        <v>18</v>
      </c>
      <c r="J99" s="4" t="s">
        <v>556</v>
      </c>
      <c r="K99" s="2" t="s">
        <v>18</v>
      </c>
      <c r="L99" s="2" t="s">
        <v>21</v>
      </c>
      <c r="M99" s="3" t="s">
        <v>557</v>
      </c>
    </row>
    <row r="100" customFormat="false" ht="23.85" hidden="false" customHeight="false" outlineLevel="0" collapsed="false">
      <c r="A100" s="2" t="n">
        <v>99</v>
      </c>
      <c r="B100" s="3" t="s">
        <v>558</v>
      </c>
      <c r="C100" s="2" t="s">
        <v>63</v>
      </c>
      <c r="D100" s="2" t="s">
        <v>38</v>
      </c>
      <c r="E100" s="3" t="s">
        <v>238</v>
      </c>
      <c r="F100" s="2" t="s">
        <v>18</v>
      </c>
      <c r="G100" s="2" t="s">
        <v>18</v>
      </c>
      <c r="H100" s="2" t="s">
        <v>18</v>
      </c>
      <c r="I100" s="4" t="s">
        <v>66</v>
      </c>
      <c r="J100" s="4" t="s">
        <v>241</v>
      </c>
      <c r="K100" s="2" t="s">
        <v>18</v>
      </c>
      <c r="L100" s="2" t="s">
        <v>21</v>
      </c>
      <c r="M100" s="3" t="s">
        <v>559</v>
      </c>
    </row>
    <row r="101" customFormat="false" ht="15" hidden="false" customHeight="false" outlineLevel="0" collapsed="false">
      <c r="A101" s="2" t="n">
        <v>100</v>
      </c>
      <c r="B101" s="3" t="s">
        <v>560</v>
      </c>
      <c r="C101" s="2" t="s">
        <v>63</v>
      </c>
      <c r="D101" s="2" t="s">
        <v>18</v>
      </c>
      <c r="E101" s="3" t="s">
        <v>561</v>
      </c>
      <c r="F101" s="2" t="s">
        <v>18</v>
      </c>
      <c r="G101" s="2" t="s">
        <v>18</v>
      </c>
      <c r="H101" s="2" t="s">
        <v>18</v>
      </c>
      <c r="I101" s="4" t="s">
        <v>66</v>
      </c>
      <c r="J101" s="4" t="s">
        <v>562</v>
      </c>
      <c r="K101" s="2" t="s">
        <v>18</v>
      </c>
      <c r="L101" s="2" t="s">
        <v>21</v>
      </c>
      <c r="M101" s="3" t="s">
        <v>559</v>
      </c>
    </row>
  </sheetData>
  <autoFilter ref="A1:M101"/>
  <conditionalFormatting sqref="L2:L101">
    <cfRule type="cellIs" priority="2" operator="equal" aboveAverage="0" equalAverage="0" bottom="0" percent="0" rank="0" text="" dxfId="6">
      <formula>"🟢 Yangi"</formula>
    </cfRule>
    <cfRule type="cellIs" priority="3" operator="equal" aboveAverage="0" equalAverage="0" bottom="0" percent="0" rank="0" text="" dxfId="7">
      <formula>"🟡 Aloqada"</formula>
    </cfRule>
    <cfRule type="cellIs" priority="4" operator="equal" aboveAverage="0" equalAverage="0" bottom="0" percent="0" rank="0" text="" dxfId="8">
      <formula>"🔵 Kelishildi"</formula>
    </cfRule>
    <cfRule type="cellIs" priority="5" operator="equal" aboveAverage="0" equalAverage="0" bottom="0" percent="0" rank="0" text="" dxfId="9">
      <formula>"🔴 Rad etildi"</formula>
    </cfRule>
  </conditionalFormatting>
  <dataValidations count="1">
    <dataValidation allowBlank="false" error="Iltimos, ro'yxatdan status tanlang" errorStyle="stop" errorTitle="Noto'g'ri qiymat" operator="between" showDropDown="false" showErrorMessage="false" showInputMessage="false" sqref="L2:L101" type="list">
      <formula1>"🟢 Yangi,🟡 Aloqada,🔵 Kelishildi,🔴 Rad etildi"</formula1>
      <formula2>0</formula2>
    </dataValidation>
  </dataValidations>
  <hyperlinks>
    <hyperlink ref="I2" r:id="rId1" display="https://caravangroup.uz/"/>
    <hyperlink ref="J2" r:id="rId2" display="https://www.google.com/maps/search/?api=1&amp;query=Abdulla%20Qahhor%20ko%27chasi%2022%2C%20Toshkent%2C%20Tashkent%2C%20Uzbekistan"/>
    <hyperlink ref="I3" r:id="rId3" display="http://jumanji.uz/"/>
    <hyperlink ref="J3" r:id="rId4" display="https://www.google.com/maps/search/?api=1&amp;query=Yusuf%20Xos%20Xojib%20ko%27chasi%2062%2C%20Toshkent%2C%20Tashkent%2C%20Uzbekistan"/>
    <hyperlink ref="J4" r:id="rId5" display="https://www.google.com/maps/search/?api=1&amp;query=Shahrisabz%20ko%27chasi%2023%2C%20Toshkent%2C%20Tashkent%2C%20Uzbekistan"/>
    <hyperlink ref="I5" r:id="rId6" display="https://caravangroup.uz/"/>
    <hyperlink ref="J5" r:id="rId7" display="https://www.google.com/maps/search/?api=1&amp;query=Bobur%20ko%27chasi%2014%2C%20Toshkent%2C%20Tashkent%2C%20Uzbekistan"/>
    <hyperlink ref="I6" r:id="rId8" display="https://taplink.cc/afsona_rest"/>
    <hyperlink ref="J6" r:id="rId9" display="https://www.google.com/maps/search/?api=1&amp;query=Taras%20Shevchenko%20ko%27chasi%2028%2C%20Toshkent%2C%20Tashkent%2C%20Uzbekistan"/>
    <hyperlink ref="I7" r:id="rId10" display="http://gruzinskiy.uz/"/>
    <hyperlink ref="J7" r:id="rId11" display="https://www.google.com/maps/search/?api=1&amp;query=Abdulla%20Qahhor%20ko%27chasi%2015%2C%20Toshkent%2C%20Tashkent%2C%20Uzbekistan"/>
    <hyperlink ref="J8" r:id="rId12" display="https://www.google.com/maps/search/?api=1&amp;query=Taras%20Shevchenko%20ko%27chasi%2036%D0%90%2C%20Toshkent%2C%20Tashkent%2C%20Uzbekistan"/>
    <hyperlink ref="I9" r:id="rId13" display="http://www.abnmbgroup.com/"/>
    <hyperlink ref="J9" r:id="rId14" display="https://www.google.com/maps/search/?api=1&amp;query=Fidokor%20ko%27chasi%2040%2C%20Toshkent%2C%20Tashkent%2C%20Uzbekistan"/>
    <hyperlink ref="I10" r:id="rId15" display="http://www.abnmbgroup.com/"/>
    <hyperlink ref="J10" r:id="rId16" display="https://www.google.com/maps/search/?api=1&amp;query=Bobur%20ko%27chasi%20174%2C%20Toshkent%2C%20Tashkent%2C%20Uzbekistan"/>
    <hyperlink ref="G11" r:id="rId17" display="https://instagram.com/pierepublicuz"/>
    <hyperlink ref="J11" r:id="rId18" display="https://www.google.com/maps/search/?api=1&amp;query=Shahrisabz%20ko%27chasi%2033-34%2C%20Toshkent%2C%20Tashkent%2C%20Uzbekistan"/>
    <hyperlink ref="J12" r:id="rId19" display="https://www.google.com/maps/search/?api=1&amp;query=Said%20Baraka%20ko%27chasi%2016B%2C%20Toshkent%2C%20Tashkent%2C%20Uzbekistan"/>
    <hyperlink ref="I13" r:id="rId20" display="http://www.abnmbgroup.com/"/>
    <hyperlink ref="J13" r:id="rId21" display="https://www.google.com/maps/search/?api=1&amp;query=Shota%20Rustaveli%20ko%27chasi%2063%2C%20Toshkent%2C%20Tashkent%2C%20Uzbekistan"/>
    <hyperlink ref="I14" r:id="rId22" display="https://bnb.uz/"/>
    <hyperlink ref="J14" r:id="rId23" display="https://www.google.com/maps/search/?api=1&amp;query=Shota%20Rustaveli%20ko%27chasi%2030%2C%20Toshkent%2C%20Tashkent%2C%20Uzbekistan"/>
    <hyperlink ref="I15" r:id="rId24" display="https://bnb.uz/"/>
    <hyperlink ref="J15" r:id="rId25" display="https://www.google.com/maps/search/?api=1&amp;query=Chexov%20ko%27chasi%2025%2C%20Toshkent%2C%20Tashkent%2C%20Uzbekistan"/>
    <hyperlink ref="I16" r:id="rId26" display="https://www.facebook.com/TheIrishPubTashkent"/>
    <hyperlink ref="J16" r:id="rId27" display="https://www.google.com/maps/search/?api=1&amp;query=Taras%20Shevchenko%20ko%27chasi%2030%2C%20Toshkent%2C%20Tashkent%2C%20Uzbekistan"/>
    <hyperlink ref="J17" r:id="rId28" display="https://www.google.com/maps/search/?api=1&amp;query=Matbuotchilar%20ko%27chasi%209%2C%20Toshkent%2C%20Tashkent%2C%20Uzbekistan"/>
    <hyperlink ref="I18" r:id="rId29" display="http://www.fornlebnen.com/"/>
    <hyperlink ref="J18" r:id="rId30" display="https://www.google.com/maps/search/?api=1&amp;query=Muqimiy%201-tor%20ko%27cha%208A%2C%20Toshkent%2C%20Tashkent%2C%20Uzbekistan"/>
    <hyperlink ref="J19" r:id="rId31" display="https://www.google.com/maps/search/?api=1&amp;query=Mirzo%20Ulug%27bek%20shoh%20ko%27chasi%2C%20Toshkent%2C%20Tashkent%2C%20Uzbekistan"/>
    <hyperlink ref="I20" r:id="rId32" display="https://breadly.uz/"/>
    <hyperlink ref="J20" r:id="rId33" display="https://www.google.com/maps/search/?api=1&amp;query=Okqo%27rg%27on%20ko%27chasi%2025%2C%20Toshkent%2C%20Tashkent%2C%20Uzbekistan"/>
    <hyperlink ref="I21" r:id="rId34" display="https://www.facebook.com/Broccoli.uz/"/>
    <hyperlink ref="J21" r:id="rId35" display="https://www.google.com/maps/search/?api=1&amp;query=Chexov%20ko%27chasi%207%2C%20Toshkent%2C%20Tashkent%2C%20Uzbekistan"/>
    <hyperlink ref="I22" r:id="rId36" display="http://www.vohhabrasserie.uz/"/>
    <hyperlink ref="J22" r:id="rId37" display="https://www.google.com/maps/search/?api=1&amp;query=Afrosiyob%20ko%27chasi%2041%2C%20Toshkent%2C%20Tashkent%2C%20Uzbekistan"/>
    <hyperlink ref="I23" r:id="rId38" display="https://www.facebook.com/cookbookworkshop/"/>
    <hyperlink ref="J23" r:id="rId39" display="https://www.google.com/maps/search/?api=1&amp;query=Zulfiyaxonim%20ko%27chasi%2018%2C%20Toshkent%2C%20Tashkent%2C%20Uzbekistan"/>
    <hyperlink ref="J24" r:id="rId40" display="https://www.google.com/maps/search/?api=1&amp;query=Sodiq%20Azimov%20ko%27chasi%2031%2C%20Toshkent%2C%20Tashkent%2C%20Uzbekistan"/>
    <hyperlink ref="I25" r:id="rId41" display="http://www.abnmbgroup.com/"/>
    <hyperlink ref="J25" r:id="rId42" display="https://www.google.com/maps/search/?api=1&amp;query=Shota%20Rustaveli%20ko%27chasi%2063%2C%20Toshkent%2C%20Tashkent%2C%20Uzbekistan"/>
    <hyperlink ref="J26" r:id="rId43" display="https://www.google.com/maps/search/?api=1&amp;query=Sirk%20ro%27parasida%2C%20Toshkent%2C%20Tashkent%2C%20Uzbekistan"/>
    <hyperlink ref="J27" r:id="rId44" display="https://www.google.com/maps/search/?api=1&amp;query=Mustaqillik%20shoh%20ko%27chasi%2C%20Toshkent%2C%20Tashkent%2C%20Uzbekistan"/>
    <hyperlink ref="I28" r:id="rId45" display="https://familygarden.su/syrovarnyatashkent/"/>
    <hyperlink ref="J28" r:id="rId46" display="https://www.google.com/maps/search/?api=1&amp;query=Shahrisabz%20ko%27chasi%2031B%2C%20Toshkent%2C%20Tashkent%2C%20Uzbekistan"/>
    <hyperlink ref="I29" r:id="rId47" display="http://ictashkent.com/"/>
    <hyperlink ref="J29" r:id="rId48" display="https://www.google.com/maps/search/?api=1&amp;query=Shahrisabz%20ko%27chasi%202%20%28InterContinental%29%2C%20Toshkent%2C%20Tashkent%2C%20Uzbekistan"/>
    <hyperlink ref="I30" r:id="rId49" display="https://assorti.uz/"/>
    <hyperlink ref="J30" r:id="rId50" display="https://www.google.com/maps/search/?api=1&amp;query=Le%20Grand%20Plaza%20Hotel%2C%20O%27zbekiston%20Ovozi%20ko%27chasi%202%2C%20Toshkent%2C%20Tashkent%2C%20Uzbekistan"/>
    <hyperlink ref="J31" r:id="rId51" display="https://www.google.com/maps/search/?api=1&amp;query=Navoiy%20shox%20ko%27chasi%201%20%28Hyatt%20Regency%29%2C%20Toshkent%2C%20Tashkent%2C%20Uzbekistan"/>
    <hyperlink ref="J32" r:id="rId52" display="https://www.google.com/maps/search/?api=1&amp;query=Shota%20Rustaveli%20ko%27chasi%2028%2C%20Toshkent%2C%20Tashkent%2C%20Uzbekistan"/>
    <hyperlink ref="I33" r:id="rId53" display="http://www.beshqozon.uz/"/>
    <hyperlink ref="J33" r:id="rId54" display="https://www.google.com/maps/search/?api=1&amp;query=Gvardiya%20polkovnigi%20Xodjayev%20ko%27chasi%201%2C%20Toshkent%2C%20Tashkent%2C%20Uzbekistan"/>
    <hyperlink ref="J34" r:id="rId55" display="https://www.google.com/maps/search/?api=1&amp;query=Navoiy%20shox%20ko%27chasi%201%20%28Hyatt%20Regency%29%2C%20Toshkent%2C%20Tashkent%2C%20Uzbekistan"/>
    <hyperlink ref="J35" r:id="rId56" display="https://www.google.com/maps/search/?api=1&amp;query=Amir%20Temur%20shox%20ko%27chasi%2019%2C%20Toshkent%2C%20Tashkent%2C%20Uzbekistan"/>
    <hyperlink ref="J36" r:id="rId57" display="https://www.google.com/maps/search/?api=1&amp;query=Mahmud%20Torobiy%20ko%27chasi%2029%2C%20Toshkent%2C%20Tashkent%2C%20Uzbekistan"/>
    <hyperlink ref="J37" r:id="rId58" display="https://www.google.com/maps/search/?api=1&amp;query=Baynalminal%20ko%27chasi%2C%20Toshkent%2C%20Tashkent%2C%20Uzbekistan"/>
    <hyperlink ref="J38" r:id="rId59" display="https://www.google.com/maps/search/?api=1&amp;query=Glinka%20ko%27chasi%2046%2C%20Toshkent%2C%20Tashkent%2C%20Uzbekistan"/>
    <hyperlink ref="I39" r:id="rId60" display="http://gosht.uz/"/>
    <hyperlink ref="J39" r:id="rId61" display="https://www.google.com/maps/search/?api=1&amp;query=Mirobod%20tumani%2C%20Toshkent%2C%20Tashkent%2C%20Uzbekistan"/>
    <hyperlink ref="I40" r:id="rId62" display="https://bellissimo.uz/"/>
    <hyperlink ref="J40" r:id="rId63" display="https://www.google.com/maps/search/?api=1&amp;query=Bobur%20ko%27chasi%206%20%28Next%20savdo%20markazi%29%2C%20Toshkent%2C%20Tashkent%2C%20Uzbekistan"/>
    <hyperlink ref="G41" r:id="rId64" display="https://instagram.com/shefburger_uz"/>
    <hyperlink ref="J41" r:id="rId65" display="https://www.google.com/maps/search/?api=1&amp;query=Shota%20Rustaveli%20ko%27chasi%2013%2C%20Toshkent%2C%20Tashkent%2C%20Uzbekistan"/>
    <hyperlink ref="G42" r:id="rId66" display="https://instagram.com/shefburger_uz"/>
    <hyperlink ref="J42" r:id="rId67" display="https://www.google.com/maps/search/?api=1&amp;query=Amir%20Temur%20shox%20ko%27chasi%2070%2C%20Toshkent%2C%20Tashkent%2C%20Uzbekistan"/>
    <hyperlink ref="J43" r:id="rId68" display="https://www.google.com/maps/search/?api=1&amp;query=Istiqbol%20ko%27chasi%208%2C%20Toshkent%2C%20Tashkent%2C%20Uzbekistan"/>
    <hyperlink ref="I44" r:id="rId69" display="https://dodopizza.uz/"/>
    <hyperlink ref="J44" r:id="rId70" display="https://www.google.com/maps/search/?api=1&amp;query=Said%20Baraka%20ko%27chasi%2016%D0%91%2C%20Toshkent%2C%20Tashkent%2C%20Uzbekistan"/>
    <hyperlink ref="I45" r:id="rId71" display="https://blackstarburger.ru/zavedeniya/bsb-tashkent/"/>
    <hyperlink ref="J45" r:id="rId72" display="https://www.google.com/maps/search/?api=1&amp;query=Sodiq%20Azimov%20ko%27chasi%2C%20Toshkent%2C%20Tashkent%2C%20Uzbekistan"/>
    <hyperlink ref="G46" r:id="rId73" display="https://instagram.com/beerkovich.uz"/>
    <hyperlink ref="J46" r:id="rId74" display="https://www.google.com/maps/search/?api=1&amp;query=Mirobod%20ko%27chasi%209%D0%90%2C%20Toshkent%2C%20Tashkent%2C%20Uzbekistan"/>
    <hyperlink ref="J47" r:id="rId75" display="https://www.google.com/maps/search/?api=1&amp;query=Tafakkur%20ko%27chasi%2057%2C%20Toshkent%2C%20Tashkent%2C%20Uzbekistan"/>
    <hyperlink ref="I48" r:id="rId76" display="https://yaponamama.uz/"/>
    <hyperlink ref="J48" r:id="rId77" display="https://www.google.com/maps/search/?api=1&amp;query=Shota%20Rustaveli%20ko%27chasi%2069A%2C%20Toshkent%2C%20Tashkent%2C%20Uzbekistan"/>
    <hyperlink ref="I49" r:id="rId78" display="https://facebook.com/merhabasteakhouse"/>
    <hyperlink ref="J49" r:id="rId79" display="https://www.google.com/maps/search/?api=1&amp;query=Yangi%20Kuylyuk%20ko%27chasi%2018%2C%20Toshkent%2C%20Tashkent%2C%20Uzbekistan"/>
    <hyperlink ref="G50" r:id="rId80" display="https://www.instagram.com/teppanyaki.uz/"/>
    <hyperlink ref="J50" r:id="rId81" display="https://www.google.com/maps/search/?api=1&amp;query=Shahrisabz%20ko%27chasi%2033%D0%90%2C%20Toshkent%2C%20Tashkent%2C%20Uzbekistan"/>
    <hyperlink ref="G51" r:id="rId82" display="https://www.instagram.com/furusato_tashkent"/>
    <hyperlink ref="J51" r:id="rId83" display="https://www.google.com/maps/search/?api=1&amp;query=Niyozbek%20Yo%27li%20ko%27chasi%203-tor%2C%206A-bino%2C%20Toshkent%2C%20Tashkent%2C%20Uzbekistan"/>
    <hyperlink ref="I52" r:id="rId84" display="http://www.sushi-time.uz/"/>
    <hyperlink ref="J52" r:id="rId85" display="https://www.google.com/maps/search/?api=1&amp;query=Mirabad%20ko%27chasi%2012%2C%20Toshkent%2C%20Tashkent%2C%20Uzbekistan"/>
    <hyperlink ref="I53" r:id="rId86" display="https://yaponamama.uz/"/>
    <hyperlink ref="J53" r:id="rId87" display="https://www.google.com/maps/search/?api=1&amp;query=Taras%20Shevchenko%20ko%27chasi%2C%20Toshkent%2C%20Tashkent%2C%20Uzbekistan"/>
    <hyperlink ref="I54" r:id="rId88" display="https://yaponamama.uz/"/>
    <hyperlink ref="J54" r:id="rId89" display="https://www.google.com/maps/search/?api=1&amp;query=Shivli%20ko%27chasi%2055%2C%20Toshkent%2C%20Tashkent%2C%20Uzbekistan"/>
    <hyperlink ref="I55" r:id="rId90" display="https://yaponamama.uz/"/>
    <hyperlink ref="J55" r:id="rId91" display="https://www.google.com/maps/search/?api=1&amp;query=Mirzo%20Ulug%27bek%20shox%20ko%27chasi%204%2C%20Toshkent%2C%20Tashkent%2C%20Uzbekistan"/>
    <hyperlink ref="H56" r:id="rId92" display="https://t.me/TwiceSpicebot"/>
    <hyperlink ref="J56" r:id="rId93" display="https://www.google.com/maps/search/?api=1&amp;query=Okqo%27rg%27on%20ko%27chasi%2018%2C%20Toshkent%2C%20Tashkent%2C%20Uzbekistan"/>
    <hyperlink ref="G57" r:id="rId94" display="https://instagram.com/yaposha.uz"/>
    <hyperlink ref="J57" r:id="rId95" display="https://www.google.com/maps/search/?api=1&amp;query=Yusuf%20Xos%20Xojib%20ko%27chasi%2032%2C%20Toshkent%2C%20Tashkent%2C%20Uzbekistan"/>
    <hyperlink ref="H58" r:id="rId96" display="https://t.me/Sushiwokmasterbot"/>
    <hyperlink ref="J58" r:id="rId97" display="https://www.google.com/maps/search/?api=1&amp;query=Qo%27shbegi%20ko%27chasi%206/1%2C%20Toshkent%2C%20Tashkent%2C%20Uzbekistan"/>
    <hyperlink ref="I59" r:id="rId98" display="https://tanukifamily.uz/"/>
    <hyperlink ref="J59" r:id="rId99" display="https://www.google.com/maps/search/?api=1&amp;query=Taras%20Shevchenko%20ko%27chasi%2021%D0%90%2C%20Toshkent%2C%20Tashkent%2C%20Uzbekistan"/>
    <hyperlink ref="I60" r:id="rId100" display="https://tanukifamily.uz/"/>
    <hyperlink ref="J60" r:id="rId101" display="https://www.google.com/maps/search/?api=1&amp;query=Botir%20Zokirov%20ko%27chasi%207%20%28Tashkent%20City%20Mall%29%2C%20Toshkent%2C%20Tashkent%2C%20Uzbekistan"/>
    <hyperlink ref="I61" r:id="rId102" display="https://menu.tomyumbar.com/?tashkent"/>
    <hyperlink ref="J61" r:id="rId103" display="https://www.google.com/maps/search/?api=1&amp;query=Taras%20Shevchenko%20ko%27chasi%2021%D0%90%2C%20Toshkent%2C%20Tashkent%2C%20Uzbekistan"/>
    <hyperlink ref="J62" r:id="rId104" display="https://www.google.com/maps/search/?api=1&amp;query=O%27zbekiston%20shox%20ko%27chasi%2017%2C%20Toshkent%2C%20Tashkent%2C%20Uzbekistan"/>
    <hyperlink ref="J63" r:id="rId105" display="https://www.google.com/maps/search/?api=1&amp;query=Chorsu%20bozori%20yaqinida%2C%20Toshkent%2C%20Tashkent%2C%20Uzbekistan"/>
    <hyperlink ref="J64" r:id="rId106" display="https://www.google.com/maps/search/?api=1&amp;query=Turkiston%20ko%27chasi%2C%20Toshkent%2C%20Tashkent%2C%20Uzbekistan"/>
    <hyperlink ref="I65" r:id="rId107" display="https://burgerandlounge.uz/ru"/>
    <hyperlink ref="J65" r:id="rId108" display="https://www.google.com/maps/search/?api=1&amp;query=Buyuk%20Ipak%20Yo%27li%20ko%27chasi%20158%2C%20Toshkent%2C%20Tashkent%2C%20Uzbekistan"/>
    <hyperlink ref="I66" r:id="rId109" display="http://www.smi.uz/"/>
    <hyperlink ref="J66" r:id="rId110" display="https://www.google.com/maps/search/?api=1&amp;query=Kari%20Niyozov%20ko%27chasi%2068A%2C%20Toshkent%2C%20Tashkent%2C%20Uzbekistan"/>
    <hyperlink ref="I67" r:id="rId111" display="https://facebook.com/Qanotchi/"/>
    <hyperlink ref="J67" r:id="rId112" display="https://www.google.com/maps/search/?api=1&amp;query=Toshkent%20shahri%2C%20Tashkent%2C%20Uzbekistan"/>
    <hyperlink ref="I68" r:id="rId113" display="https://quadro.uz/"/>
    <hyperlink ref="J68" r:id="rId114" display="https://www.google.com/maps/search/?api=1&amp;query=Zulfiyaxonim%20ko%27chasi%2024%2C%20Toshkent%2C%20Tashkent%2C%20Uzbekistan"/>
    <hyperlink ref="I69" r:id="rId115" display="https://testo.uz/"/>
    <hyperlink ref="J69" r:id="rId116" display="https://www.google.com/maps/search/?api=1&amp;query=Shota%20Rustaveli%20ko%27chasi%2018%2C%20Toshkent%2C%20Tashkent%2C%20Uzbekistan"/>
    <hyperlink ref="J70" r:id="rId117" display="https://www.google.com/maps/search/?api=1&amp;query=Toshkent%20shahri%2C%20Tashkent%2C%20Uzbekistan"/>
    <hyperlink ref="I71" r:id="rId118" display="https://htrmeals.uz/"/>
    <hyperlink ref="J71" r:id="rId119" display="https://www.google.com/maps/search/?api=1&amp;query=Ukchi%20ko%27chasi%201%20%28Hilton%20Tashkent%20City%29%2C%20Toshkent%2C%20Tashkent%2C%20Uzbekistan"/>
    <hyperlink ref="I72" r:id="rId120" display="https://s1.menu-giotto.uz/"/>
    <hyperlink ref="J72" r:id="rId121" display="https://www.google.com/maps/search/?api=1&amp;query=Shahrisabz%20ko%27chasi%2033%D0%90%2C%20Toshkent%2C%20Tashkent%2C%20Uzbekistan"/>
    <hyperlink ref="I73" r:id="rId122" display="http://www.abnmbgroup.com/"/>
    <hyperlink ref="J73" r:id="rId123" display="https://www.google.com/maps/search/?api=1&amp;query=Temur%20Malik%20ko%27chasi%203%2C%20Toshkent%2C%20Tashkent%2C%20Uzbekistan"/>
    <hyperlink ref="I74" r:id="rId124" display="http://paul.uz/"/>
    <hyperlink ref="J74" r:id="rId125" display="https://www.google.com/maps/search/?api=1&amp;query=Amir%20Temur%20shox%20ko%27chasi%2060%2C%20Toshkent%2C%20Tashkent%2C%20Uzbekistan"/>
    <hyperlink ref="I75" r:id="rId126" display="https://safiabakery.uz/ru"/>
    <hyperlink ref="J75" r:id="rId127" display="https://www.google.com/maps/search/?api=1&amp;query=Bunyodkor%20shoh%20ko%27chasi%206%2C%20Toshkent%2C%20Tashkent%2C%20Uzbekistan"/>
    <hyperlink ref="I76" r:id="rId128" display="http://www.abnmbgroup.com/"/>
    <hyperlink ref="J76" r:id="rId129" display="https://www.google.com/maps/search/?api=1&amp;query=Ahmad%20Donish%20ko%27chasi%2080%2C%20Toshkent%2C%20Tashkent%2C%20Uzbekistan"/>
    <hyperlink ref="J77" r:id="rId130" display="https://www.google.com/maps/search/?api=1&amp;query=Imom%20At-Termiziy%20ko%27chasi%20%28Brand%20Bukhara%20yaqinida%29%2C%20Toshkent%2C%20Tashkent%2C%20Uzbekistan"/>
    <hyperlink ref="J78" r:id="rId131" display="https://www.google.com/maps/search/?api=1&amp;query=Geydar%20Aliyev%20ko%27chasi%20189%2C%20Toshkent%2C%20Tashkent%2C%20Uzbekistan"/>
    <hyperlink ref="J79" r:id="rId132" display="https://www.google.com/maps/search/?api=1&amp;query=O%27zbekiston%20Ovozi%20ko%27chasi%2049%2C%20Toshkent%2C%20Tashkent%2C%20Uzbekistan"/>
    <hyperlink ref="I80" r:id="rId133" display="http://www.facebook.com/cafeanor"/>
    <hyperlink ref="J80" r:id="rId134" display="https://www.google.com/maps/search/?api=1&amp;query=Mirobod%20ko%27chasi%2037%2C%20Toshkent%2C%20Tashkent%2C%20Uzbekistan"/>
    <hyperlink ref="J81" r:id="rId135" display="https://www.google.com/maps/search/?api=1&amp;query=Xushnavo%20ko%27chasi%204%2C%20Toshkent%2C%20Tashkent%2C%20Uzbekistan"/>
    <hyperlink ref="I82" r:id="rId136" display="https://bosphorusfamily.com/"/>
    <hyperlink ref="J82" r:id="rId137" display="https://www.google.com/maps/search/?api=1&amp;query=Qorasaroy%20ko%27chasi%20257B%2C%20Toshkent%2C%20Tashkent%2C%20Uzbekistan"/>
    <hyperlink ref="I83" r:id="rId138" display="https://www.facebook.com/restaurantpositano/"/>
    <hyperlink ref="J83" r:id="rId139" display="https://www.google.com/maps/search/?api=1&amp;query=Taras%20Shevchenko%20ko%27chasi%2038%D0%90%2C%20Toshkent%2C%20Tashkent%2C%20Uzbekistan"/>
    <hyperlink ref="I84" r:id="rId140" display="https://cucucina.uz/"/>
    <hyperlink ref="J84" r:id="rId141" display="https://www.google.com/maps/search/?api=1&amp;query=Olmazor%20ko%27chasi%202%D0%90%2C%20Toshkent%2C%20Tashkent%2C%20Uzbekistan"/>
    <hyperlink ref="J85" r:id="rId142" display="https://www.google.com/maps/search/?api=1&amp;query=Xurshid%20ko%27chasi%2057%2C%20Toshkent%2C%20Tashkent%2C%20Uzbekistan"/>
    <hyperlink ref="J86" r:id="rId143" display="https://www.google.com/maps/search/?api=1&amp;query=Abdulla%20Qahhor%20ko%27chasi%2024%2C%20Toshkent%2C%20Tashkent%2C%20Uzbekistan"/>
    <hyperlink ref="J87" r:id="rId144" display="https://www.google.com/maps/search/?api=1&amp;query=O%27zbekiston%20Ovozi%20ko%27chasi%2C%20Toshkent%2C%20Tashkent%2C%20Uzbekistan"/>
    <hyperlink ref="G88" r:id="rId145" display="https://www.instagram.com/gavi.digavi/"/>
    <hyperlink ref="J88" r:id="rId146" display="https://www.google.com/maps/search/?api=1&amp;query=Shahrisabz%20ko%27chasi%2016%2C%20Toshkent%2C%20Tashkent%2C%20Uzbekistan"/>
    <hyperlink ref="J89" r:id="rId147" display="https://www.google.com/maps/search/?api=1&amp;query=Taras%20Shevchenko%20ko%27chasi%2032%2C%20Toshkent%2C%20Tashkent%2C%20Uzbekistan"/>
    <hyperlink ref="J90" r:id="rId148" display="https://www.google.com/maps/search/?api=1&amp;query=Nukus%20ko%27chasi%2016%2C%20Toshkent%2C%20Tashkent%2C%20Uzbekistan"/>
    <hyperlink ref="J91" r:id="rId149" display="https://www.google.com/maps/search/?api=1&amp;query=769P%2B443%2C%20Toshkent%2C%20Tashkent%2C%20Uzbekistan"/>
    <hyperlink ref="J92" r:id="rId150" display="https://www.google.com/maps/search/?api=1&amp;query=Shota%20Rustaveli%20ko%27chasi%208%2C%20Toshkent%2C%20Tashkent%2C%20Uzbekistan"/>
    <hyperlink ref="J93" r:id="rId151" display="https://www.google.com/maps/search/?api=1&amp;query=Glinka%20ko%27chasi%2C%20Toshkent%2C%20Tashkent%2C%20Uzbekistan"/>
    <hyperlink ref="I94" r:id="rId152" display="https://cakelab.uz/ru"/>
    <hyperlink ref="J94" r:id="rId153" display="https://www.google.com/maps/search/?api=1&amp;query=Mirzo%20Ulug%27bek%20shox%20ko%27chasi%2051%2C%20Toshkent%2C%20Tashkent%2C%20Uzbekistan"/>
    <hyperlink ref="I95" r:id="rId154" display="http://baskinrobbins.uz/"/>
    <hyperlink ref="J95" r:id="rId155" display="https://www.google.com/maps/search/?api=1&amp;query=City%20Mall%2C%20Toshkent%2C%20Tashkent%2C%20Uzbekistan"/>
    <hyperlink ref="J96" r:id="rId156" display="https://www.google.com/maps/search/?api=1&amp;query=Kiyev%20ko%27chasi%2055%2C%20Toshkent%2C%20Tashkent%2C%20Uzbekistan"/>
    <hyperlink ref="G97" r:id="rId157" display="http://www.instagram.com/roun.dessert.cafe"/>
    <hyperlink ref="J97" r:id="rId158" display="https://www.google.com/maps/search/?api=1&amp;query=Mirabad%20ko%27chasi%2012%2C%20Toshkent%2C%20Tashkent%2C%20Uzbekistan"/>
    <hyperlink ref="I98" r:id="rId159" display="https://s1.menu-giotto.uz/"/>
    <hyperlink ref="J98" r:id="rId160" display="https://www.google.com/maps/search/?api=1&amp;query=Amir%20Temur%20shox%20ko%27chasi%201%2C%20Toshkent%2C%20Tashkent%2C%20Uzbekistan"/>
    <hyperlink ref="J99" r:id="rId161" display="https://www.google.com/maps/search/?api=1&amp;query=Shahrisabz%20ko%27chasi%2030%D0%90%2C%20Toshkent%2C%20Tashkent%2C%20Uzbekistan"/>
    <hyperlink ref="I100" r:id="rId162" display="http://www.abnmbgroup.com/"/>
    <hyperlink ref="J100" r:id="rId163" display="https://www.google.com/maps/search/?api=1&amp;query=Bobur%20ko%27chasi%206%20%28Next%20savdo%20markazi%29%2C%20Toshkent%2C%20Tashkent%2C%20Uzbekistan"/>
    <hyperlink ref="I101" r:id="rId164" display="http://www.abnmbgroup.com/"/>
    <hyperlink ref="J101" r:id="rId165" display="https://www.google.com/maps/search/?api=1&amp;query=Chimkentskaya%20ko%27chasi%2021%2C%20Toshkent%2C%20Tashkent%2C%20Uzbekista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4"/>
  </cols>
  <sheetData>
    <row r="1" customFormat="false" ht="19.7" hidden="false" customHeight="false" outlineLevel="0" collapsed="false">
      <c r="A1" s="5" t="s">
        <v>563</v>
      </c>
      <c r="B1" s="5"/>
      <c r="C1" s="5"/>
      <c r="D1" s="5"/>
    </row>
    <row r="3" customFormat="false" ht="15" hidden="false" customHeight="false" outlineLevel="0" collapsed="false">
      <c r="A3" s="6" t="s">
        <v>564</v>
      </c>
      <c r="B3" s="7" t="n">
        <f aca="false">COUNTA(Restoranlar!B2:B101)</f>
        <v>100</v>
      </c>
    </row>
    <row r="4" customFormat="false" ht="15" hidden="false" customHeight="false" outlineLevel="0" collapsed="false">
      <c r="A4" s="6" t="s">
        <v>565</v>
      </c>
      <c r="B4" s="7" t="n">
        <f aca="false">COUNTIFS(Restoranlar!F2:F101,"&lt;&gt;Mavjud emas")</f>
        <v>90</v>
      </c>
    </row>
    <row r="5" customFormat="false" ht="15" hidden="false" customHeight="false" outlineLevel="0" collapsed="false">
      <c r="A5" s="6" t="s">
        <v>566</v>
      </c>
      <c r="B5" s="7" t="n">
        <f aca="false">COUNTIFS(Restoranlar!G2:G101,"&lt;&gt;Mavjud emas")</f>
        <v>9</v>
      </c>
    </row>
    <row r="6" customFormat="false" ht="15" hidden="false" customHeight="false" outlineLevel="0" collapsed="false">
      <c r="A6" s="6" t="s">
        <v>567</v>
      </c>
      <c r="B6" s="7" t="n">
        <f aca="false">COUNTIFS(Restoranlar!H2:H101,"&lt;&gt;Mavjud emas")</f>
        <v>2</v>
      </c>
    </row>
    <row r="7" customFormat="false" ht="15" hidden="false" customHeight="false" outlineLevel="0" collapsed="false">
      <c r="A7" s="6" t="s">
        <v>568</v>
      </c>
      <c r="B7" s="7" t="n">
        <f aca="false">COUNTIFS(Restoranlar!I2:I101,"&lt;&gt;Mavjud emas")</f>
        <v>54</v>
      </c>
    </row>
    <row r="9" customFormat="false" ht="16.15" hidden="false" customHeight="false" outlineLevel="0" collapsed="false">
      <c r="A9" s="8" t="s">
        <v>569</v>
      </c>
    </row>
    <row r="10" customFormat="false" ht="15" hidden="false" customHeight="false" outlineLevel="0" collapsed="false">
      <c r="A10" s="6" t="s">
        <v>570</v>
      </c>
      <c r="B10" s="6" t="s">
        <v>571</v>
      </c>
    </row>
    <row r="11" customFormat="false" ht="15" hidden="false" customHeight="false" outlineLevel="0" collapsed="false">
      <c r="A11" s="9" t="s">
        <v>21</v>
      </c>
      <c r="B11" s="9" t="n">
        <f aca="false">COUNTIF(Restoranlar!L2:L101,"🟢 Yangi")</f>
        <v>100</v>
      </c>
    </row>
    <row r="12" customFormat="false" ht="15" hidden="false" customHeight="false" outlineLevel="0" collapsed="false">
      <c r="A12" s="9" t="s">
        <v>572</v>
      </c>
      <c r="B12" s="9" t="n">
        <f aca="false">COUNTIF(Restoranlar!L2:L101,"🟡 Aloqada")</f>
        <v>0</v>
      </c>
    </row>
    <row r="13" customFormat="false" ht="15" hidden="false" customHeight="false" outlineLevel="0" collapsed="false">
      <c r="A13" s="9" t="s">
        <v>573</v>
      </c>
      <c r="B13" s="9" t="n">
        <f aca="false">COUNTIF(Restoranlar!L2:L101,"🔵 Kelishildi")</f>
        <v>0</v>
      </c>
    </row>
    <row r="14" customFormat="false" ht="15" hidden="false" customHeight="false" outlineLevel="0" collapsed="false">
      <c r="A14" s="9" t="s">
        <v>574</v>
      </c>
      <c r="B14" s="9" t="n">
        <f aca="false">COUNTIF(Restoranlar!L2:L101,"🔴 Rad etildi")</f>
        <v>0</v>
      </c>
    </row>
    <row r="17" customFormat="false" ht="45" hidden="false" customHeight="true" outlineLevel="0" collapsed="false">
      <c r="A17" s="10" t="s">
        <v>575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</sheetData>
  <mergeCells count="2">
    <mergeCell ref="A1:D1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2026-07-28T11:43:36Z</dcterms:created>
  <dc:creator>openpyxl</dc:creator>
  <dc:description/>
  <dc:language>en-US</dc:language>
  <cp:lastModifiedBy/>
  <dcterms:modified xsi:type="dcterms:W3CDTF">2026-07-28T11:43:38Z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